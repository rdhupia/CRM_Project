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gif" ContentType="image/gif"/>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fileSharing readOnlyRecommended="1" userName="Registered User" reservationPassword="CC71"/>
  <workbookPr codeName="ThisWorkbook" defaultThemeVersion="124226"/>
  <bookViews>
    <workbookView xWindow="0" yWindow="0" windowWidth="18675" windowHeight="11640"/>
  </bookViews>
  <sheets>
    <sheet name="Input" sheetId="1" r:id="rId1"/>
    <sheet name="Receipt" sheetId="2" r:id="rId2"/>
    <sheet name="Setting" sheetId="3" r:id="rId3"/>
  </sheets>
  <definedNames>
    <definedName name="accList">Setting!$A$106:$C$276</definedName>
    <definedName name="accName">Setting!$A$106:$A$276</definedName>
    <definedName name="activationFee">Input!$G$9</definedName>
    <definedName name="addresses">Setting!$A$3:$F$7</definedName>
    <definedName name="dicount3">Input!$C$8</definedName>
    <definedName name="discount1">Input!$C$6</definedName>
    <definedName name="discount2">Input!$C$7</definedName>
    <definedName name="discount3">Input!$C$8</definedName>
    <definedName name="discount4">Input!$C$9</definedName>
    <definedName name="discount5">Input!$C$10</definedName>
    <definedName name="discountList">Setting!$C$9:$C$15</definedName>
    <definedName name="discountrate">Setting!$C$9:$D$15</definedName>
    <definedName name="disRate">Setting!$A$9:$B$14</definedName>
    <definedName name="dlist">Setting!$A$9:$A$14</definedName>
    <definedName name="item1">Input!$B$6</definedName>
    <definedName name="item2">Input!$B$7</definedName>
    <definedName name="item3">Input!$B$8</definedName>
    <definedName name="item4">Input!$B$9</definedName>
    <definedName name="item5">Input!$B$10</definedName>
    <definedName name="location">Input!$A$1</definedName>
    <definedName name="locations">Setting!$A$3:$A$7</definedName>
    <definedName name="manPhone">Input!$G$8</definedName>
    <definedName name="manSim">Input!$G$7</definedName>
    <definedName name="manualdate">Input!$G$6</definedName>
    <definedName name="manualdiscount">Input!$G$5</definedName>
    <definedName name="manualTab">Input!$G$2</definedName>
    <definedName name="meid1">Input!$D$2</definedName>
    <definedName name="model1">Input!$F$2</definedName>
    <definedName name="phoneNum1">Input!$C$2</definedName>
    <definedName name="phonetable">Setting!$A$19:$D$102</definedName>
    <definedName name="pmethod">Input!$B$13</definedName>
    <definedName name="pmethod2">Input!$C$13</definedName>
    <definedName name="_xlnm.Print_Area" localSheetId="1">Receipt!$A$1:$E$80</definedName>
    <definedName name="productType">Input!$A$2</definedName>
    <definedName name="reactFee">Setting!$C$10</definedName>
    <definedName name="simNum1">Input!$E$2</definedName>
    <definedName name="simPrice">Setting!$D$10</definedName>
    <definedName name="tabTable">Setting!#REF!</definedName>
    <definedName name="type1">Input!$B$2</definedName>
  </definedNames>
  <calcPr calcId="125725"/>
</workbook>
</file>

<file path=xl/calcChain.xml><?xml version="1.0" encoding="utf-8"?>
<calcChain xmlns="http://schemas.openxmlformats.org/spreadsheetml/2006/main">
  <c r="D79" i="2"/>
  <c r="B12"/>
  <c r="K21" i="1"/>
  <c r="E12" i="2" s="1"/>
  <c r="I45" i="1"/>
  <c r="I39"/>
  <c r="H39"/>
  <c r="A4" i="2"/>
  <c r="A3"/>
  <c r="B10"/>
  <c r="J28" i="1"/>
  <c r="B1"/>
  <c r="A7" i="2"/>
  <c r="D20"/>
  <c r="D19"/>
  <c r="D18"/>
  <c r="D17"/>
  <c r="D16"/>
  <c r="B13"/>
  <c r="I21" i="1"/>
  <c r="E11" i="2" s="1"/>
  <c r="B11" s="1"/>
  <c r="L22" i="1"/>
  <c r="L23"/>
  <c r="I24"/>
  <c r="J24"/>
  <c r="I25"/>
  <c r="J25"/>
  <c r="I26"/>
  <c r="J26"/>
  <c r="I27"/>
  <c r="J27"/>
  <c r="I28"/>
  <c r="L29"/>
  <c r="L30"/>
  <c r="L31"/>
  <c r="C27" i="2"/>
  <c r="C10"/>
  <c r="F5" i="1"/>
  <c r="A15" i="2"/>
  <c r="E10"/>
  <c r="E24"/>
  <c r="C9"/>
  <c r="C8"/>
  <c r="B20"/>
  <c r="B19"/>
  <c r="B18"/>
  <c r="B17"/>
  <c r="B16"/>
  <c r="E13"/>
  <c r="F8" i="1"/>
  <c r="B14" i="2"/>
  <c r="E29"/>
  <c r="C29"/>
  <c r="C28"/>
  <c r="C24"/>
  <c r="A2"/>
  <c r="A5" l="1"/>
  <c r="L35" i="1"/>
  <c r="K27"/>
  <c r="D9" s="1"/>
  <c r="K25"/>
  <c r="D7" s="1"/>
  <c r="K26"/>
  <c r="D8" s="1"/>
  <c r="K24"/>
  <c r="D6" s="1"/>
  <c r="K28"/>
  <c r="D10" s="1"/>
  <c r="L21"/>
  <c r="D32" i="2"/>
  <c r="L28" i="1" l="1"/>
  <c r="E20" i="2" s="1"/>
  <c r="L24" i="1"/>
  <c r="L27"/>
  <c r="E19" i="2" s="1"/>
  <c r="L26" i="1"/>
  <c r="E18" i="2" s="1"/>
  <c r="L25" i="1"/>
  <c r="E17" i="2" s="1"/>
  <c r="E28" l="1"/>
  <c r="E16"/>
  <c r="L32" i="1"/>
  <c r="L33" s="1"/>
  <c r="E23" i="2" s="1"/>
  <c r="E22" l="1"/>
  <c r="L34" i="1"/>
  <c r="D14" l="1"/>
  <c r="L36"/>
  <c r="E25" i="2"/>
  <c r="E14" i="1" l="1"/>
  <c r="E30" i="2"/>
  <c r="C30" s="1"/>
</calcChain>
</file>

<file path=xl/sharedStrings.xml><?xml version="1.0" encoding="utf-8"?>
<sst xmlns="http://schemas.openxmlformats.org/spreadsheetml/2006/main" count="612" uniqueCount="456">
  <si>
    <t>NORTH YORK, ONTARIO</t>
  </si>
  <si>
    <t>1571 SANDHURST CIRClE</t>
  </si>
  <si>
    <t>SCARBOROUGH, ONTARIO</t>
  </si>
  <si>
    <t>M1V 1V2</t>
  </si>
  <si>
    <t>Accessory</t>
  </si>
  <si>
    <t>Price</t>
  </si>
  <si>
    <t>ACDC</t>
  </si>
  <si>
    <t>BBAC</t>
  </si>
  <si>
    <t>CAR25</t>
  </si>
  <si>
    <t>CARV9</t>
  </si>
  <si>
    <t>CHARMBT</t>
  </si>
  <si>
    <t>DATA</t>
  </si>
  <si>
    <t>EAR20</t>
  </si>
  <si>
    <t>EAR25</t>
  </si>
  <si>
    <t>ESN10</t>
  </si>
  <si>
    <t>EXTRA</t>
  </si>
  <si>
    <t>HEAD20</t>
  </si>
  <si>
    <t>I4DATA</t>
  </si>
  <si>
    <t>I4SCR</t>
  </si>
  <si>
    <t>I5SCR</t>
  </si>
  <si>
    <t>I5DATA</t>
  </si>
  <si>
    <t>MEDIUMPB</t>
  </si>
  <si>
    <t>MEMORY16</t>
  </si>
  <si>
    <t>MEMORY4</t>
  </si>
  <si>
    <t>MINIBT</t>
  </si>
  <si>
    <t>NEC15</t>
  </si>
  <si>
    <t>POU20</t>
  </si>
  <si>
    <t>POU25</t>
  </si>
  <si>
    <t>TRAKYO</t>
  </si>
  <si>
    <t>TRAV9</t>
  </si>
  <si>
    <t>Postal Code</t>
    <phoneticPr fontId="1" type="noConversion"/>
  </si>
  <si>
    <t>Code</t>
    <phoneticPr fontId="1" type="noConversion"/>
  </si>
  <si>
    <t>Price</t>
    <phoneticPr fontId="1" type="noConversion"/>
  </si>
  <si>
    <t>Date</t>
  </si>
  <si>
    <t>Phone Number</t>
  </si>
  <si>
    <t>Phone #</t>
    <phoneticPr fontId="1" type="noConversion"/>
  </si>
  <si>
    <t>Accessories</t>
    <phoneticPr fontId="1" type="noConversion"/>
  </si>
  <si>
    <t>No Tax</t>
    <phoneticPr fontId="1" type="noConversion"/>
  </si>
  <si>
    <t>50% Off</t>
    <phoneticPr fontId="1" type="noConversion"/>
  </si>
  <si>
    <t>FREE</t>
    <phoneticPr fontId="1" type="noConversion"/>
  </si>
  <si>
    <t>Amount</t>
  </si>
  <si>
    <t>Address</t>
    <phoneticPr fontId="1" type="noConversion"/>
  </si>
  <si>
    <t>Name</t>
    <phoneticPr fontId="1" type="noConversion"/>
  </si>
  <si>
    <t>City</t>
    <phoneticPr fontId="1" type="noConversion"/>
  </si>
  <si>
    <t>Sheridan</t>
    <phoneticPr fontId="1" type="noConversion"/>
  </si>
  <si>
    <t>M3L 1B2</t>
    <phoneticPr fontId="1" type="noConversion"/>
  </si>
  <si>
    <t>Woodside</t>
    <phoneticPr fontId="1" type="noConversion"/>
  </si>
  <si>
    <t>BOGO</t>
    <phoneticPr fontId="1" type="noConversion"/>
  </si>
  <si>
    <t>No discount</t>
    <phoneticPr fontId="1" type="noConversion"/>
  </si>
  <si>
    <t>Phones</t>
    <phoneticPr fontId="1" type="noConversion"/>
  </si>
  <si>
    <t>1st method</t>
  </si>
  <si>
    <t>2nd method</t>
  </si>
  <si>
    <t>discounted price</t>
    <phoneticPr fontId="1" type="noConversion"/>
  </si>
  <si>
    <t>Accessories</t>
  </si>
  <si>
    <t>[ CUSTOMER COPY ]</t>
    <phoneticPr fontId="1" type="noConversion"/>
  </si>
  <si>
    <t>.</t>
    <phoneticPr fontId="1" type="noConversion"/>
  </si>
  <si>
    <t>*     *     *     *     *     *     *     *     *     *     *     *     *     *     *     *     *</t>
    <phoneticPr fontId="1" type="noConversion"/>
  </si>
  <si>
    <t>(647) 764 - 8188</t>
    <phoneticPr fontId="1" type="noConversion"/>
  </si>
  <si>
    <t>(647) 345 - 3570</t>
    <phoneticPr fontId="1" type="noConversion"/>
  </si>
  <si>
    <t>IMEI</t>
  </si>
  <si>
    <t>SIM #</t>
  </si>
  <si>
    <t>Model</t>
  </si>
  <si>
    <t>Tab</t>
  </si>
  <si>
    <t>CODE</t>
  </si>
  <si>
    <t>Discount</t>
  </si>
  <si>
    <t>Manual</t>
  </si>
  <si>
    <t>Payment</t>
  </si>
  <si>
    <t>Method</t>
  </si>
  <si>
    <t>Calculation</t>
  </si>
  <si>
    <t>Acc1</t>
  </si>
  <si>
    <t>Phone</t>
  </si>
  <si>
    <t>Acc2</t>
  </si>
  <si>
    <t>Acc3</t>
  </si>
  <si>
    <t>Acc4</t>
  </si>
  <si>
    <t>Acc5</t>
  </si>
  <si>
    <t>Transaction Date &amp; Time -</t>
  </si>
  <si>
    <t>SMALLPB</t>
  </si>
  <si>
    <t>A2XGEL</t>
  </si>
  <si>
    <t>A2XFLIP</t>
  </si>
  <si>
    <t>A2XARM</t>
  </si>
  <si>
    <t>GS3MGEL</t>
  </si>
  <si>
    <t>GS3MFLIP</t>
  </si>
  <si>
    <t>GS3GEL</t>
  </si>
  <si>
    <t>GS3FLIP</t>
  </si>
  <si>
    <t>MTGGEL</t>
  </si>
  <si>
    <t>MTGFLIP</t>
  </si>
  <si>
    <t>Q5GEL</t>
  </si>
  <si>
    <t>Y330GEL</t>
  </si>
  <si>
    <t>GS3SCR</t>
  </si>
  <si>
    <t>A2XSCR</t>
  </si>
  <si>
    <t>GS3MSCR</t>
  </si>
  <si>
    <t>MTGSCR</t>
  </si>
  <si>
    <t>Q5SCR</t>
  </si>
  <si>
    <t>Y330SCR</t>
  </si>
  <si>
    <t>SAM1200BT</t>
  </si>
  <si>
    <t>LONGPEN</t>
  </si>
  <si>
    <t>SHORTPEN</t>
  </si>
  <si>
    <t>SIMADA</t>
  </si>
  <si>
    <t>SIMCUT</t>
  </si>
  <si>
    <t>MEMORY16GB</t>
  </si>
  <si>
    <t>MEMORY32GB</t>
  </si>
  <si>
    <t>NUM10</t>
  </si>
  <si>
    <t xml:space="preserve">  </t>
  </si>
  <si>
    <t>1700 WILSON AVENUE K#009</t>
  </si>
  <si>
    <t>[STORE COPY]</t>
  </si>
  <si>
    <t>[CELLO]</t>
  </si>
  <si>
    <t>Name on receipt</t>
  </si>
  <si>
    <t>Receipt Variables</t>
  </si>
  <si>
    <t>isPhone</t>
  </si>
  <si>
    <t>isAcc</t>
  </si>
  <si>
    <t>polNum</t>
  </si>
  <si>
    <t>Ori. P</t>
  </si>
  <si>
    <t>Dis 1</t>
  </si>
  <si>
    <t>Dis 2</t>
  </si>
  <si>
    <t>Sum</t>
  </si>
  <si>
    <t>Pay 1</t>
  </si>
  <si>
    <t>Pay 2</t>
  </si>
  <si>
    <t>Total Due</t>
  </si>
  <si>
    <t>Total Pay</t>
  </si>
  <si>
    <t>Change</t>
  </si>
  <si>
    <t>SIM</t>
  </si>
  <si>
    <t>Activation</t>
  </si>
  <si>
    <t>Man discount</t>
  </si>
  <si>
    <t>Phone #</t>
  </si>
  <si>
    <t>Sales Tax</t>
  </si>
  <si>
    <t>Sub Total</t>
  </si>
  <si>
    <t>subtotal</t>
  </si>
  <si>
    <t>sales tax</t>
  </si>
  <si>
    <r>
      <t xml:space="preserve">Unlock service is </t>
    </r>
    <r>
      <rPr>
        <b/>
        <u/>
        <sz val="10"/>
        <rFont val="Arial"/>
        <family val="2"/>
      </rPr>
      <t>FINAL SALE.</t>
    </r>
    <r>
      <rPr>
        <sz val="10"/>
        <rFont val="Arial"/>
        <family val="2"/>
      </rPr>
      <t xml:space="preserve"> 
We take no responsibility if the warranty is void. If the requested code does not come, only half of unlocking fee is refunded to you. The customer is fully responsible to know the information on the phone's locked-in carrier and stolen/lost reported status. If this information is incorrect, the phone will not only be unlocked but also the refund will NOT be issued. We are not responsible for any software or hardware issue arise from unlocking.</t>
    </r>
  </si>
  <si>
    <t>OP</t>
  </si>
  <si>
    <t>LG FLIP (A341)</t>
    <phoneticPr fontId="1" type="noConversion"/>
  </si>
  <si>
    <t>Alcatel One Touch (A392A)</t>
    <phoneticPr fontId="1" type="noConversion"/>
  </si>
  <si>
    <t>iPhone 4S White</t>
    <phoneticPr fontId="1" type="noConversion"/>
  </si>
  <si>
    <t>iPhone 4S Black</t>
    <phoneticPr fontId="1" type="noConversion"/>
  </si>
  <si>
    <t>Samsung Galaxy Ace II X</t>
    <phoneticPr fontId="1" type="noConversion"/>
  </si>
  <si>
    <t>Motorola Moto G</t>
    <phoneticPr fontId="1" type="noConversion"/>
  </si>
  <si>
    <t>Samsung Galaxy S 3 Black</t>
    <phoneticPr fontId="1" type="noConversion"/>
  </si>
  <si>
    <t>Samsung Galaxy S 3 White</t>
    <phoneticPr fontId="1" type="noConversion"/>
  </si>
  <si>
    <t>Google Nexus 5</t>
    <phoneticPr fontId="1" type="noConversion"/>
  </si>
  <si>
    <t>Samsung Galaxy Note 2</t>
    <phoneticPr fontId="1" type="noConversion"/>
  </si>
  <si>
    <t>NEX5FLIP</t>
  </si>
  <si>
    <t>NEX5GEL</t>
  </si>
  <si>
    <t>NEX5SCR</t>
  </si>
  <si>
    <t>NOTE2GEL</t>
  </si>
  <si>
    <t>NOTE2SCR</t>
  </si>
  <si>
    <t>GS3ARM</t>
  </si>
  <si>
    <t>Apple iPhone 5C</t>
  </si>
  <si>
    <t>Apple iPhone 4</t>
  </si>
  <si>
    <t>Apple iPhone 4S</t>
  </si>
  <si>
    <t>Samsung I5510M</t>
  </si>
  <si>
    <t>Samsung Note 3</t>
  </si>
  <si>
    <t>Alcatel Fierce 7024W</t>
  </si>
  <si>
    <t>Blackberry 9300</t>
  </si>
  <si>
    <t>Samsung Note 2</t>
    <phoneticPr fontId="1" type="noConversion"/>
  </si>
  <si>
    <t>LG A341</t>
    <phoneticPr fontId="1" type="noConversion"/>
  </si>
  <si>
    <t>LG W390</t>
    <phoneticPr fontId="1" type="noConversion"/>
  </si>
  <si>
    <t>Blackberry Z10</t>
    <phoneticPr fontId="1" type="noConversion"/>
  </si>
  <si>
    <t>SER</t>
    <phoneticPr fontId="1" type="noConversion"/>
  </si>
  <si>
    <t>Samsung Galaxy Core White</t>
    <phoneticPr fontId="1" type="noConversion"/>
  </si>
  <si>
    <t>Samsung Galaxy Core Black</t>
    <phoneticPr fontId="1" type="noConversion"/>
  </si>
  <si>
    <t>COREGEL</t>
    <phoneticPr fontId="1" type="noConversion"/>
  </si>
  <si>
    <t>CORESCR</t>
    <phoneticPr fontId="1" type="noConversion"/>
  </si>
  <si>
    <t>NOTE2ARM</t>
    <phoneticPr fontId="1" type="noConversion"/>
  </si>
  <si>
    <t>I4SGEL</t>
  </si>
  <si>
    <t>I4SSCR</t>
  </si>
  <si>
    <t>I4SFLIP</t>
  </si>
  <si>
    <t>NOTE2FLIP</t>
  </si>
  <si>
    <t>MEM10</t>
    <phoneticPr fontId="1" type="noConversion"/>
  </si>
  <si>
    <t>MEM30</t>
    <phoneticPr fontId="1" type="noConversion"/>
  </si>
  <si>
    <t>ZTE Z221</t>
    <phoneticPr fontId="1" type="noConversion"/>
  </si>
  <si>
    <t>Samsung T599</t>
    <phoneticPr fontId="1" type="noConversion"/>
  </si>
  <si>
    <t>LG GB255G</t>
    <phoneticPr fontId="1" type="noConversion"/>
  </si>
  <si>
    <t>L70GEL</t>
    <phoneticPr fontId="1" type="noConversion"/>
  </si>
  <si>
    <t>L70SCR</t>
    <phoneticPr fontId="1" type="noConversion"/>
  </si>
  <si>
    <t>FIREARM</t>
    <phoneticPr fontId="1" type="noConversion"/>
  </si>
  <si>
    <t>Apple iPhone5S Grey</t>
  </si>
  <si>
    <t>Apple iPhone5S Gold</t>
  </si>
  <si>
    <t>Apple iPhone5S Silver</t>
  </si>
  <si>
    <t>Apple iPhone 5C 8G Black</t>
  </si>
  <si>
    <t>Apple iPhone 5C 8G White</t>
  </si>
  <si>
    <t>I5SGEL</t>
    <phoneticPr fontId="1" type="noConversion"/>
  </si>
  <si>
    <t>I5SFLIP</t>
    <phoneticPr fontId="1" type="noConversion"/>
  </si>
  <si>
    <t>I5SSCR</t>
    <phoneticPr fontId="1" type="noConversion"/>
  </si>
  <si>
    <t>I5CGEL</t>
    <phoneticPr fontId="1" type="noConversion"/>
  </si>
  <si>
    <t>I5CFLIP</t>
    <phoneticPr fontId="1" type="noConversion"/>
  </si>
  <si>
    <t>I5CSCR</t>
    <phoneticPr fontId="1" type="noConversion"/>
  </si>
  <si>
    <t>LG Optimus L90</t>
    <phoneticPr fontId="1" type="noConversion"/>
  </si>
  <si>
    <t>LG L70</t>
    <phoneticPr fontId="1" type="noConversion"/>
  </si>
  <si>
    <t>Samsung Galaxy Light</t>
    <phoneticPr fontId="1" type="noConversion"/>
  </si>
  <si>
    <t>Xperia Z 1</t>
    <phoneticPr fontId="1" type="noConversion"/>
  </si>
  <si>
    <t>COREFLIP</t>
    <phoneticPr fontId="1" type="noConversion"/>
  </si>
  <si>
    <t>GLOVE</t>
    <phoneticPr fontId="1" type="noConversion"/>
  </si>
  <si>
    <t>Motorola Moto G(Prepaid)</t>
    <phoneticPr fontId="1" type="noConversion"/>
  </si>
  <si>
    <t>HTC Desire 320(Prepaid)</t>
    <phoneticPr fontId="1" type="noConversion"/>
  </si>
  <si>
    <t>FIERSCR</t>
    <phoneticPr fontId="1" type="noConversion"/>
  </si>
  <si>
    <t>TORONTO, ONTARIO</t>
  </si>
  <si>
    <t>Trethewey</t>
  </si>
  <si>
    <t>1575 JANE STREET UNIT 4</t>
    <phoneticPr fontId="1" type="noConversion"/>
  </si>
  <si>
    <t>M9N 2R3</t>
    <phoneticPr fontId="1" type="noConversion"/>
  </si>
  <si>
    <t>Hawuei Y330</t>
    <phoneticPr fontId="1" type="noConversion"/>
  </si>
  <si>
    <t>Samsung Galaxy S III (747)</t>
    <phoneticPr fontId="1" type="noConversion"/>
  </si>
  <si>
    <t>Samsung Galaxy S III (999)</t>
    <phoneticPr fontId="1" type="noConversion"/>
  </si>
  <si>
    <t>Samsung Galaxy S IV</t>
    <phoneticPr fontId="1" type="noConversion"/>
  </si>
  <si>
    <t>Samsung Galaxy S V</t>
    <phoneticPr fontId="1" type="noConversion"/>
  </si>
  <si>
    <t>LG GW300</t>
    <phoneticPr fontId="1" type="noConversion"/>
  </si>
  <si>
    <t>Samsung Galaxy S III (32GB)</t>
    <phoneticPr fontId="1" type="noConversion"/>
  </si>
  <si>
    <t>Alcatel One Touch Fierce 2</t>
    <phoneticPr fontId="1" type="noConversion"/>
  </si>
  <si>
    <t>K_A2X</t>
  </si>
  <si>
    <t>K_A341</t>
  </si>
  <si>
    <t>K_A392A</t>
  </si>
  <si>
    <t>K_CORE_B</t>
  </si>
  <si>
    <t>K_CORE_W</t>
  </si>
  <si>
    <t>K_GS3_B</t>
  </si>
  <si>
    <t>K_GS3_W</t>
  </si>
  <si>
    <t>K_I4S_B</t>
  </si>
  <si>
    <t>K_I4S_W</t>
  </si>
  <si>
    <t>K_I5C_BL</t>
  </si>
  <si>
    <t>K_I5C_WH</t>
  </si>
  <si>
    <t>K_I5S_GL</t>
  </si>
  <si>
    <t>K_I5S_GR</t>
  </si>
  <si>
    <t>K_I5S_SL</t>
  </si>
  <si>
    <t>K_MTG</t>
  </si>
  <si>
    <t>K_NEX5</t>
  </si>
  <si>
    <t>K_NOTE2</t>
  </si>
  <si>
    <t>P_D320</t>
  </si>
  <si>
    <t>P_MTG</t>
  </si>
  <si>
    <t>U_7024W</t>
  </si>
  <si>
    <t>U_A341</t>
  </si>
  <si>
    <t>U_BB9300</t>
  </si>
  <si>
    <t>U_FIERCE2</t>
  </si>
  <si>
    <t>U_GB255G</t>
  </si>
  <si>
    <t>U_GS3_747</t>
  </si>
  <si>
    <t>U_GS3_999</t>
  </si>
  <si>
    <t>U_GS3_999_32G</t>
  </si>
  <si>
    <t>U_GS4</t>
  </si>
  <si>
    <t>U_GS5</t>
  </si>
  <si>
    <t>U_GW300</t>
  </si>
  <si>
    <t>U_I4</t>
  </si>
  <si>
    <t>U_I4S</t>
  </si>
  <si>
    <t>U_I5510M</t>
  </si>
  <si>
    <t>U_I5C</t>
  </si>
  <si>
    <t>U_L70</t>
  </si>
  <si>
    <t>U_L90</t>
  </si>
  <si>
    <t>U_LIGHT</t>
  </si>
  <si>
    <t>U_NOTE2</t>
  </si>
  <si>
    <t>U_NOTE3</t>
  </si>
  <si>
    <t>U_T599</t>
  </si>
  <si>
    <t>U_W390</t>
  </si>
  <si>
    <t>U_XpZ</t>
  </si>
  <si>
    <t>U_Y330</t>
  </si>
  <si>
    <t>U_Z10</t>
  </si>
  <si>
    <t>U_Z221</t>
  </si>
  <si>
    <t>U_GS2</t>
  </si>
  <si>
    <t>U_NEX4</t>
  </si>
  <si>
    <t>U_I5_32G</t>
  </si>
  <si>
    <t>Samsung Galaxy S II</t>
    <phoneticPr fontId="1" type="noConversion"/>
  </si>
  <si>
    <t>Google Nexus 4</t>
    <phoneticPr fontId="1" type="noConversion"/>
  </si>
  <si>
    <t>Apple iPhone 5 (32 GB)</t>
    <phoneticPr fontId="1" type="noConversion"/>
  </si>
  <si>
    <t>SAM1900BT</t>
    <phoneticPr fontId="1" type="noConversion"/>
  </si>
  <si>
    <t>Sales Information</t>
  </si>
  <si>
    <t>Sales ID</t>
  </si>
  <si>
    <t>Total</t>
  </si>
  <si>
    <t>Contact Information</t>
  </si>
  <si>
    <t>Number Porting Information</t>
  </si>
  <si>
    <t>Acc. # / PIN</t>
  </si>
  <si>
    <t>CX INFO</t>
    <phoneticPr fontId="1" type="noConversion"/>
  </si>
  <si>
    <t>U_MEGA</t>
    <phoneticPr fontId="1" type="noConversion"/>
  </si>
  <si>
    <t>Samsung Galaxy Mega</t>
    <phoneticPr fontId="1" type="noConversion"/>
  </si>
  <si>
    <t>Samsung GIO S5660</t>
    <phoneticPr fontId="1" type="noConversion"/>
  </si>
  <si>
    <t>U_GGIO</t>
    <phoneticPr fontId="1" type="noConversion"/>
  </si>
  <si>
    <t>Samsung Galaxy S IV</t>
    <phoneticPr fontId="1" type="noConversion"/>
  </si>
  <si>
    <t>Address</t>
    <phoneticPr fontId="1" type="noConversion"/>
  </si>
  <si>
    <t>Name</t>
    <phoneticPr fontId="1" type="noConversion"/>
  </si>
  <si>
    <t>Alt. Phone #</t>
    <phoneticPr fontId="1" type="noConversion"/>
  </si>
  <si>
    <t>Email Address</t>
    <phoneticPr fontId="1" type="noConversion"/>
  </si>
  <si>
    <t>PREPAID INFO</t>
    <phoneticPr fontId="1" type="noConversion"/>
  </si>
  <si>
    <t>CX &amp; NP INFO</t>
    <phoneticPr fontId="1" type="noConversion"/>
  </si>
  <si>
    <t>VIEW CX COPY</t>
    <phoneticPr fontId="1" type="noConversion"/>
  </si>
  <si>
    <t>VIEW ST COPY</t>
    <phoneticPr fontId="1" type="noConversion"/>
  </si>
  <si>
    <t>PRINT</t>
    <phoneticPr fontId="1" type="noConversion"/>
  </si>
  <si>
    <t>BYOD</t>
    <phoneticPr fontId="1" type="noConversion"/>
  </si>
  <si>
    <t>RESET ALL</t>
    <phoneticPr fontId="1" type="noConversion"/>
  </si>
  <si>
    <t>Special</t>
    <phoneticPr fontId="1" type="noConversion"/>
  </si>
  <si>
    <t>Location</t>
  </si>
  <si>
    <t>GS4FLIP</t>
    <phoneticPr fontId="1" type="noConversion"/>
  </si>
  <si>
    <t>GS4GEL</t>
    <phoneticPr fontId="1" type="noConversion"/>
  </si>
  <si>
    <t>GS4SCR</t>
    <phoneticPr fontId="1" type="noConversion"/>
  </si>
  <si>
    <t>SIM</t>
    <phoneticPr fontId="1" type="noConversion"/>
  </si>
  <si>
    <t>SIM Card</t>
    <phoneticPr fontId="1" type="noConversion"/>
  </si>
  <si>
    <t>SIM</t>
    <phoneticPr fontId="1" type="noConversion"/>
  </si>
  <si>
    <t>Phone # :</t>
    <phoneticPr fontId="1" type="noConversion"/>
  </si>
  <si>
    <t>IMEI :</t>
    <phoneticPr fontId="1" type="noConversion"/>
  </si>
  <si>
    <t>C_GS3_B</t>
    <phoneticPr fontId="1" type="noConversion"/>
  </si>
  <si>
    <t>C_MTG</t>
    <phoneticPr fontId="1" type="noConversion"/>
  </si>
  <si>
    <t>C_NOTE2</t>
    <phoneticPr fontId="1" type="noConversion"/>
  </si>
  <si>
    <t>CPO: Galaxy S III</t>
    <phoneticPr fontId="1" type="noConversion"/>
  </si>
  <si>
    <t>CPO: Moto G</t>
    <phoneticPr fontId="1" type="noConversion"/>
  </si>
  <si>
    <t>CPO: Galaxy Note II</t>
    <phoneticPr fontId="1" type="noConversion"/>
  </si>
  <si>
    <t>Transaction ID</t>
    <phoneticPr fontId="1" type="noConversion"/>
  </si>
  <si>
    <t>S</t>
    <phoneticPr fontId="1" type="noConversion"/>
  </si>
  <si>
    <t>W</t>
    <phoneticPr fontId="1" type="noConversion"/>
  </si>
  <si>
    <t>T</t>
    <phoneticPr fontId="1" type="noConversion"/>
  </si>
  <si>
    <t>Code</t>
    <phoneticPr fontId="1" type="noConversion"/>
  </si>
  <si>
    <t>(416) 645 - 0861</t>
    <phoneticPr fontId="1" type="noConversion"/>
  </si>
  <si>
    <t>K_MTE_B</t>
    <phoneticPr fontId="1" type="noConversion"/>
  </si>
  <si>
    <t>K_MTE_W</t>
    <phoneticPr fontId="1" type="noConversion"/>
  </si>
  <si>
    <t>Motorola Moto E White</t>
    <phoneticPr fontId="1" type="noConversion"/>
  </si>
  <si>
    <t>Motorola Moto E Black</t>
    <phoneticPr fontId="1" type="noConversion"/>
  </si>
  <si>
    <t>MTEFLIP</t>
    <phoneticPr fontId="1" type="noConversion"/>
  </si>
  <si>
    <t>MTEGEL</t>
    <phoneticPr fontId="1" type="noConversion"/>
  </si>
  <si>
    <t>MTESCR</t>
    <phoneticPr fontId="1" type="noConversion"/>
  </si>
  <si>
    <t>K_GS4_B</t>
    <phoneticPr fontId="1" type="noConversion"/>
  </si>
  <si>
    <t>K_GS4_W</t>
    <phoneticPr fontId="1" type="noConversion"/>
  </si>
  <si>
    <t>K_LGG3</t>
    <phoneticPr fontId="1" type="noConversion"/>
  </si>
  <si>
    <t>LG G3</t>
    <phoneticPr fontId="1" type="noConversion"/>
  </si>
  <si>
    <t>G3GEL</t>
    <phoneticPr fontId="1" type="noConversion"/>
  </si>
  <si>
    <t>G3SCR</t>
    <phoneticPr fontId="1" type="noConversion"/>
  </si>
  <si>
    <t>G3TEMP</t>
    <phoneticPr fontId="1" type="noConversion"/>
  </si>
  <si>
    <t>GS4TEMP</t>
    <phoneticPr fontId="1" type="noConversion"/>
  </si>
  <si>
    <t>K_GS5</t>
    <phoneticPr fontId="1" type="noConversion"/>
  </si>
  <si>
    <t>K_NOTE4</t>
    <phoneticPr fontId="1" type="noConversion"/>
  </si>
  <si>
    <t>K_I6_16GB</t>
    <phoneticPr fontId="1" type="noConversion"/>
  </si>
  <si>
    <t>K_I6_64GB</t>
    <phoneticPr fontId="1" type="noConversion"/>
  </si>
  <si>
    <t>K_I6P_16GB</t>
    <phoneticPr fontId="1" type="noConversion"/>
  </si>
  <si>
    <t>Samsung Galaxy S V</t>
    <phoneticPr fontId="1" type="noConversion"/>
  </si>
  <si>
    <t>Samsung Galaxy Note IV</t>
    <phoneticPr fontId="1" type="noConversion"/>
  </si>
  <si>
    <t>Apple iPhone 6 16GB</t>
    <phoneticPr fontId="1" type="noConversion"/>
  </si>
  <si>
    <t>Apple iPhone 6 64GB</t>
    <phoneticPr fontId="1" type="noConversion"/>
  </si>
  <si>
    <t>Applie iPhone 6 Plus 16GB</t>
    <phoneticPr fontId="1" type="noConversion"/>
  </si>
  <si>
    <t>NOTE4GEL</t>
    <phoneticPr fontId="1" type="noConversion"/>
  </si>
  <si>
    <t>NOTE4FLIP</t>
    <phoneticPr fontId="1" type="noConversion"/>
  </si>
  <si>
    <t>NOTE4SCR</t>
    <phoneticPr fontId="1" type="noConversion"/>
  </si>
  <si>
    <t>NOTE4TEMP</t>
    <phoneticPr fontId="1" type="noConversion"/>
  </si>
  <si>
    <t>GS5GEL</t>
    <phoneticPr fontId="1" type="noConversion"/>
  </si>
  <si>
    <t>GS5ARM</t>
    <phoneticPr fontId="1" type="noConversion"/>
  </si>
  <si>
    <t>GS5FLIP</t>
    <phoneticPr fontId="1" type="noConversion"/>
  </si>
  <si>
    <t>GS5SCR</t>
    <phoneticPr fontId="1" type="noConversion"/>
  </si>
  <si>
    <t>GS5TEMP</t>
    <phoneticPr fontId="1" type="noConversion"/>
  </si>
  <si>
    <t>I6GEL</t>
    <phoneticPr fontId="1" type="noConversion"/>
  </si>
  <si>
    <t>I6ARM</t>
    <phoneticPr fontId="1" type="noConversion"/>
  </si>
  <si>
    <t>I6FLIP</t>
    <phoneticPr fontId="1" type="noConversion"/>
  </si>
  <si>
    <t>I6SCR</t>
    <phoneticPr fontId="1" type="noConversion"/>
  </si>
  <si>
    <t>I6TEMP</t>
    <phoneticPr fontId="1" type="noConversion"/>
  </si>
  <si>
    <t>I6PLUSGEL</t>
    <phoneticPr fontId="1" type="noConversion"/>
  </si>
  <si>
    <t>I6PLUSARM</t>
    <phoneticPr fontId="1" type="noConversion"/>
  </si>
  <si>
    <t>I6PLUSFLIP</t>
    <phoneticPr fontId="1" type="noConversion"/>
  </si>
  <si>
    <t>U_GFLEX</t>
    <phoneticPr fontId="1" type="noConversion"/>
  </si>
  <si>
    <t>U_EVOLVE2</t>
    <phoneticPr fontId="1" type="noConversion"/>
  </si>
  <si>
    <t>Alcatel Evolve 2</t>
    <phoneticPr fontId="1" type="noConversion"/>
  </si>
  <si>
    <t>LG G Flex</t>
    <phoneticPr fontId="1" type="noConversion"/>
  </si>
  <si>
    <t>C_GS3_W</t>
    <phoneticPr fontId="1" type="noConversion"/>
  </si>
  <si>
    <t>LARGEPB</t>
  </si>
  <si>
    <t>C_CORE_W</t>
  </si>
  <si>
    <t>C_CORE_B</t>
  </si>
  <si>
    <t>Galaxy Core W</t>
  </si>
  <si>
    <t>Galaxy Core B</t>
  </si>
  <si>
    <t>U_MTE</t>
  </si>
  <si>
    <t>Moto E (1st Gen.)</t>
  </si>
  <si>
    <t>U_T199</t>
  </si>
  <si>
    <t>Samsung T199</t>
  </si>
  <si>
    <t>G3ARM</t>
  </si>
  <si>
    <t>K_GS6</t>
  </si>
  <si>
    <t>K_GS6EDGE</t>
  </si>
  <si>
    <t>GS6GEL</t>
  </si>
  <si>
    <t>GS6ARM</t>
  </si>
  <si>
    <t>GS6POC</t>
  </si>
  <si>
    <t>GS6FLIP</t>
  </si>
  <si>
    <t>GS6TEMP</t>
  </si>
  <si>
    <t>GS6SCR</t>
  </si>
  <si>
    <t>GS6EDGEGEL</t>
  </si>
  <si>
    <t>GS6EDGEARM</t>
  </si>
  <si>
    <t>GS6EDGEPOC</t>
  </si>
  <si>
    <t>GS6EDGEFLIP</t>
  </si>
  <si>
    <t>GS6EDGESCR</t>
  </si>
  <si>
    <t>GS6EDGETEMP</t>
  </si>
  <si>
    <t>Samsung Galaxy S6</t>
  </si>
  <si>
    <t>Samsung Galaxy S6 Edge</t>
  </si>
  <si>
    <t>Yonge</t>
  </si>
  <si>
    <t>(647) 347 - 8400</t>
  </si>
  <si>
    <t>Y</t>
  </si>
  <si>
    <t>I6PLUSTEMP</t>
  </si>
  <si>
    <t>POU15</t>
  </si>
  <si>
    <t>SELFIESTIC</t>
  </si>
  <si>
    <t>SELFIELENS</t>
  </si>
  <si>
    <t>MEMORY4GB</t>
  </si>
  <si>
    <t>MEMORY4GB (Adata)</t>
  </si>
  <si>
    <t>MEMORY32GB (Adata)</t>
  </si>
  <si>
    <t>MEMORY2GB</t>
  </si>
  <si>
    <t>MEMORY2GB (Adata)</t>
  </si>
  <si>
    <t>MEMORY16GB (Adata)</t>
  </si>
  <si>
    <t>MEMORY2</t>
  </si>
  <si>
    <t>MEMORY32</t>
  </si>
  <si>
    <t>MEMORY2 (Kingston)</t>
  </si>
  <si>
    <t>MEMORY4 (Kingston)</t>
  </si>
  <si>
    <t>MEMORY32 (Kingston)</t>
  </si>
  <si>
    <t>MEMORY16 (Kingston)</t>
  </si>
  <si>
    <t>D320GEL</t>
  </si>
  <si>
    <t>EAR30</t>
  </si>
  <si>
    <t>K_IDOL3</t>
  </si>
  <si>
    <t>Alcatel IDOL3</t>
  </si>
  <si>
    <t>IDOL3SCR</t>
  </si>
  <si>
    <t>W_KOODO</t>
  </si>
  <si>
    <t>W_APPLE</t>
  </si>
  <si>
    <t>Koodo Extended Warranty</t>
  </si>
  <si>
    <t>Apple Care Plus</t>
  </si>
  <si>
    <t>No discount</t>
  </si>
  <si>
    <t>Cash</t>
  </si>
  <si>
    <t>C_NEX5</t>
  </si>
  <si>
    <t>CPO: Nexus 5</t>
  </si>
  <si>
    <t>C_D320</t>
  </si>
  <si>
    <t>CPO: HTC Desire 320</t>
  </si>
  <si>
    <t>Thronhill, ONTARIO</t>
  </si>
  <si>
    <t>7181 Yonge St. Suite 41</t>
  </si>
  <si>
    <t>L3T 2A9</t>
  </si>
  <si>
    <t>GS3BAT</t>
  </si>
  <si>
    <t>GS4BAT</t>
  </si>
  <si>
    <t>NOTE2BAT</t>
  </si>
  <si>
    <t>IDOL3GEL</t>
  </si>
  <si>
    <t>K_MTG2_B</t>
  </si>
  <si>
    <t>K_PRIME</t>
  </si>
  <si>
    <t>Moto G (2015 Ver.)</t>
  </si>
  <si>
    <t>Samsung Galaxy Prime</t>
  </si>
  <si>
    <t>K_MTX</t>
    <phoneticPr fontId="1" type="noConversion"/>
  </si>
  <si>
    <t>Motolora Moto X</t>
    <phoneticPr fontId="1" type="noConversion"/>
  </si>
  <si>
    <t>PRIMEGEL</t>
    <phoneticPr fontId="1" type="noConversion"/>
  </si>
  <si>
    <t>PRIMESCR</t>
    <phoneticPr fontId="1" type="noConversion"/>
  </si>
  <si>
    <t>MTG3GEL</t>
    <phoneticPr fontId="1" type="noConversion"/>
  </si>
  <si>
    <t>PRIMEGEL</t>
    <phoneticPr fontId="1" type="noConversion"/>
  </si>
  <si>
    <t>PRIMESCR</t>
    <phoneticPr fontId="1" type="noConversion"/>
  </si>
  <si>
    <t>MTG3GEL</t>
    <phoneticPr fontId="1" type="noConversion"/>
  </si>
  <si>
    <t>SM501</t>
    <phoneticPr fontId="1" type="noConversion"/>
  </si>
  <si>
    <t>Luxury Selfie Lesn(SM501)</t>
    <phoneticPr fontId="1" type="noConversion"/>
  </si>
  <si>
    <t>_______________________________</t>
    <phoneticPr fontId="1" type="noConversion"/>
  </si>
  <si>
    <t>Giftcard Type:</t>
    <phoneticPr fontId="1" type="noConversion"/>
  </si>
  <si>
    <t>signed on</t>
    <phoneticPr fontId="1" type="noConversion"/>
  </si>
  <si>
    <t>Amount:</t>
    <phoneticPr fontId="1" type="noConversion"/>
  </si>
  <si>
    <t>Print Name:</t>
    <phoneticPr fontId="1" type="noConversion"/>
  </si>
  <si>
    <t>Siignature:</t>
    <phoneticPr fontId="1" type="noConversion"/>
  </si>
  <si>
    <t xml:space="preserve">I have collected full value of giftcard offered by Koodo. I understand that  the giftcard value is to be paid back in full if the account is cancelled within 90 days from the activation date.  </t>
    <phoneticPr fontId="1" type="noConversion"/>
  </si>
  <si>
    <r>
      <t xml:space="preserve">All accessories are </t>
    </r>
    <r>
      <rPr>
        <b/>
        <u/>
        <sz val="10"/>
        <rFont val="Arial"/>
        <family val="2"/>
      </rPr>
      <t>FINAL SALE</t>
    </r>
    <r>
      <rPr>
        <sz val="10"/>
        <rFont val="Arial"/>
        <family val="2"/>
      </rPr>
      <t xml:space="preserve">. All accessories have 7 days for exchange for "like a like" only if it is in new condition.                                              </t>
    </r>
    <phoneticPr fontId="1" type="noConversion"/>
  </si>
  <si>
    <r>
      <t xml:space="preserve">All unlocked phones are </t>
    </r>
    <r>
      <rPr>
        <b/>
        <u/>
        <sz val="10"/>
        <rFont val="Arial"/>
        <family val="2"/>
      </rPr>
      <t>FINAL SALE.</t>
    </r>
    <r>
      <rPr>
        <sz val="10"/>
        <rFont val="Arial"/>
        <family val="2"/>
      </rPr>
      <t xml:space="preserve">
The phones have 30-days warranty as long as the phone does not show any physical or water damage. All the packagings and the proof of purchase must be present when claiming the warranty.</t>
    </r>
    <phoneticPr fontId="1" type="noConversion"/>
  </si>
  <si>
    <t>If you are not satisfied with your phone or service, you can return the phone for a full refund and cancel the service before 15th day from the start of your service period. Cancellation fees do not apply unless you have used more than 30 voice minutes, 50 text messages, or 50 megabytes of data. The phone must be returned in new condition with the original packagings and all the contents that were originally in the box. If you are a person with a disability, this trial period is extended to thirty days and the usage limits are doubled. Any bonus gift you receive is yours after 90 days as a Koodo customer. If you cancel service or return your phone before then, you agree to pay us back the value of the gift taken since the gift items are final sale. If your membership card is missing, you are required to pay us back the full amount of gift credit given. SIM cards are final sales and non-refundable. Trade-In credit has no cash value. In case of return, amount of trade-in credit used to purcahse handset will be refunded as WorldComm Membership Credit.</t>
    <phoneticPr fontId="1" type="noConversion"/>
  </si>
  <si>
    <t>GIFTCARD FORM</t>
    <phoneticPr fontId="1" type="noConversion"/>
  </si>
  <si>
    <t>GIFTCARD ACCEPTANCE FORM</t>
    <phoneticPr fontId="1" type="noConversion"/>
  </si>
  <si>
    <t>MTXGEL</t>
  </si>
  <si>
    <t>MTXSCR</t>
  </si>
  <si>
    <t>I5CTEMP</t>
  </si>
  <si>
    <t>MTG3GEL</t>
  </si>
  <si>
    <t>MTG3SCR</t>
  </si>
  <si>
    <t>PRIMEGEL</t>
  </si>
  <si>
    <t>RPIMESCR</t>
  </si>
  <si>
    <t>M8GEL</t>
  </si>
  <si>
    <t>M8SCR</t>
  </si>
  <si>
    <t>PRIMEFLIP</t>
  </si>
  <si>
    <t>MTG3FLIP</t>
  </si>
  <si>
    <t>MTXFLIP</t>
  </si>
</sst>
</file>

<file path=xl/styles.xml><?xml version="1.0" encoding="utf-8"?>
<styleSheet xmlns="http://schemas.openxmlformats.org/spreadsheetml/2006/main">
  <numFmts count="14">
    <numFmt numFmtId="164" formatCode="&quot;$&quot;#,##0_);[Red]\(&quot;$&quot;#,##0\)"/>
    <numFmt numFmtId="165" formatCode="&quot;$&quot;#,##0.00_);[Red]\(&quot;$&quot;#,##0.00\)"/>
    <numFmt numFmtId="166" formatCode="[=0]\ ;General"/>
    <numFmt numFmtId="167" formatCode="[=0]\ ;&quot;$&quot;##.00"/>
    <numFmt numFmtId="168" formatCode="\$##.00"/>
    <numFmt numFmtId="169" formatCode="0.0000000"/>
    <numFmt numFmtId="170" formatCode="\(###\)\ ###\ \-\ ####"/>
    <numFmt numFmtId="171" formatCode="0.000"/>
    <numFmt numFmtId="172" formatCode="0_);[Red]\(0\)"/>
    <numFmt numFmtId="173" formatCode="[=0]\ ;##.00"/>
    <numFmt numFmtId="174" formatCode="mmm\ dd\,\ yyyy\ \ h:mm\ AM/PM"/>
    <numFmt numFmtId="175" formatCode="[$-F400]h:mm:ss\ AM/PM"/>
    <numFmt numFmtId="176" formatCode="_-[$$-409]* #,##0_ ;_-[$$-409]* \-#,##0\ ;_-[$$-409]* &quot;-&quot;??_ ;_-@_ "/>
    <numFmt numFmtId="177" formatCode="[$-409]d&quot;-&quot;mmm&quot;-&quot;yy;@"/>
  </numFmts>
  <fonts count="20">
    <font>
      <sz val="11"/>
      <color theme="1"/>
      <name val="Calibri"/>
      <family val="2"/>
      <scheme val="minor"/>
    </font>
    <font>
      <sz val="8"/>
      <name val="Calibri"/>
      <family val="3"/>
      <charset val="129"/>
      <scheme val="minor"/>
    </font>
    <font>
      <sz val="11"/>
      <color theme="1"/>
      <name val="Arial"/>
      <family val="2"/>
    </font>
    <font>
      <sz val="10"/>
      <color theme="1"/>
      <name val="Arial"/>
      <family val="2"/>
    </font>
    <font>
      <sz val="9"/>
      <name val="Arial"/>
      <family val="2"/>
    </font>
    <font>
      <sz val="8"/>
      <name val="Arial"/>
      <family val="2"/>
    </font>
    <font>
      <b/>
      <sz val="9"/>
      <name val="Arial"/>
      <family val="2"/>
    </font>
    <font>
      <sz val="9"/>
      <color theme="1"/>
      <name val="Arial"/>
      <family val="2"/>
    </font>
    <font>
      <sz val="8"/>
      <color theme="1"/>
      <name val="Arial"/>
      <family val="2"/>
    </font>
    <font>
      <b/>
      <sz val="10"/>
      <color theme="1"/>
      <name val="Arial"/>
      <family val="2"/>
    </font>
    <font>
      <b/>
      <sz val="13"/>
      <color theme="1"/>
      <name val="Arial"/>
      <family val="2"/>
    </font>
    <font>
      <b/>
      <sz val="11"/>
      <color theme="1"/>
      <name val="Arial"/>
      <family val="2"/>
    </font>
    <font>
      <sz val="11"/>
      <color rgb="FF222222"/>
      <name val="Arial"/>
      <family val="2"/>
    </font>
    <font>
      <b/>
      <sz val="8"/>
      <name val="Arial"/>
      <family val="2"/>
    </font>
    <font>
      <sz val="10"/>
      <color theme="0"/>
      <name val="Arial"/>
      <family val="2"/>
    </font>
    <font>
      <b/>
      <sz val="12"/>
      <color theme="1"/>
      <name val="Arial"/>
      <family val="2"/>
    </font>
    <font>
      <sz val="10"/>
      <name val="Arial"/>
      <family val="2"/>
    </font>
    <font>
      <b/>
      <u/>
      <sz val="10"/>
      <name val="Arial"/>
      <family val="2"/>
    </font>
    <font>
      <b/>
      <sz val="36"/>
      <color theme="1"/>
      <name val="Arial"/>
      <family val="2"/>
    </font>
    <font>
      <b/>
      <sz val="9"/>
      <color theme="1"/>
      <name val="Arial"/>
      <family val="2"/>
    </font>
  </fonts>
  <fills count="1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3" tint="0.79998168889431442"/>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3" tint="0.79995117038483843"/>
        <bgColor indexed="64"/>
      </patternFill>
    </fill>
    <fill>
      <patternFill patternType="solid">
        <fgColor rgb="FFFFC000"/>
        <bgColor indexed="64"/>
      </patternFill>
    </fill>
    <fill>
      <patternFill patternType="solid">
        <fgColor rgb="FF00B050"/>
        <bgColor indexed="64"/>
      </patternFill>
    </fill>
    <fill>
      <patternFill patternType="solid">
        <fgColor theme="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91">
    <xf numFmtId="0" fontId="0" fillId="0" borderId="0" xfId="0"/>
    <xf numFmtId="0" fontId="4" fillId="0" borderId="0" xfId="0" applyFont="1" applyFill="1" applyAlignment="1" applyProtection="1">
      <alignment vertical="center"/>
    </xf>
    <xf numFmtId="0" fontId="3" fillId="0" borderId="0" xfId="0" applyFont="1" applyAlignment="1">
      <alignment vertical="center"/>
    </xf>
    <xf numFmtId="0" fontId="3" fillId="0" borderId="0" xfId="0" applyFont="1" applyAlignment="1">
      <alignment horizontal="center" vertical="center"/>
    </xf>
    <xf numFmtId="0" fontId="7" fillId="0" borderId="0" xfId="0" applyFont="1" applyAlignment="1">
      <alignment vertical="center"/>
    </xf>
    <xf numFmtId="0" fontId="3" fillId="0" borderId="0" xfId="0" applyFont="1" applyFill="1"/>
    <xf numFmtId="0" fontId="3" fillId="0" borderId="0" xfId="0" applyFont="1" applyFill="1" applyBorder="1"/>
    <xf numFmtId="0" fontId="8" fillId="0" borderId="0" xfId="0" applyFont="1" applyBorder="1" applyAlignment="1">
      <alignment horizontal="left" vertical="center"/>
    </xf>
    <xf numFmtId="0" fontId="2" fillId="3" borderId="1" xfId="0" applyFont="1" applyFill="1" applyBorder="1" applyAlignment="1">
      <alignment horizontal="center"/>
    </xf>
    <xf numFmtId="0" fontId="2" fillId="0" borderId="0" xfId="0" applyFont="1" applyFill="1" applyBorder="1" applyAlignment="1">
      <alignment horizontal="center"/>
    </xf>
    <xf numFmtId="0" fontId="3" fillId="0" borderId="1" xfId="0" applyFont="1" applyFill="1" applyBorder="1"/>
    <xf numFmtId="22" fontId="3" fillId="0" borderId="0" xfId="0" applyNumberFormat="1" applyFont="1" applyFill="1"/>
    <xf numFmtId="169" fontId="3" fillId="0" borderId="0" xfId="0" applyNumberFormat="1" applyFont="1" applyFill="1"/>
    <xf numFmtId="0" fontId="7" fillId="0" borderId="0" xfId="0" applyFont="1" applyBorder="1" applyAlignment="1">
      <alignment horizontal="center" vertical="center"/>
    </xf>
    <xf numFmtId="0" fontId="7" fillId="0" borderId="0" xfId="0" quotePrefix="1" applyFont="1" applyBorder="1" applyAlignment="1">
      <alignment horizontal="center" vertical="center"/>
    </xf>
    <xf numFmtId="0" fontId="3" fillId="0" borderId="0" xfId="0" applyFont="1" applyBorder="1" applyAlignment="1">
      <alignment vertical="center"/>
    </xf>
    <xf numFmtId="0" fontId="3" fillId="0" borderId="0" xfId="0" applyFont="1" applyBorder="1" applyAlignment="1">
      <alignment horizontal="center" vertical="center"/>
    </xf>
    <xf numFmtId="167" fontId="3" fillId="0" borderId="0" xfId="0" applyNumberFormat="1" applyFont="1" applyBorder="1" applyAlignment="1">
      <alignment vertical="center"/>
    </xf>
    <xf numFmtId="166" fontId="8" fillId="0" borderId="0" xfId="0" applyNumberFormat="1" applyFont="1" applyBorder="1" applyAlignment="1">
      <alignment vertical="center"/>
    </xf>
    <xf numFmtId="0" fontId="7" fillId="0" borderId="0" xfId="0" applyFont="1" applyBorder="1" applyAlignment="1">
      <alignment horizontal="center" vertical="center"/>
    </xf>
    <xf numFmtId="0" fontId="2" fillId="0" borderId="0" xfId="0" applyFont="1" applyAlignment="1">
      <alignment horizontal="center"/>
    </xf>
    <xf numFmtId="0" fontId="11" fillId="0" borderId="0" xfId="0" applyFont="1" applyAlignment="1">
      <alignment horizontal="center"/>
    </xf>
    <xf numFmtId="0" fontId="2" fillId="2" borderId="1" xfId="0" applyFont="1" applyFill="1" applyBorder="1" applyAlignment="1">
      <alignment horizontal="center"/>
    </xf>
    <xf numFmtId="164" fontId="2" fillId="0" borderId="0" xfId="0" applyNumberFormat="1" applyFont="1" applyFill="1" applyBorder="1" applyAlignment="1">
      <alignment horizontal="center"/>
    </xf>
    <xf numFmtId="164" fontId="2" fillId="2" borderId="1" xfId="0" applyNumberFormat="1" applyFont="1" applyFill="1" applyBorder="1" applyAlignment="1">
      <alignment horizontal="center"/>
    </xf>
    <xf numFmtId="0" fontId="12" fillId="0" borderId="0" xfId="0" applyFont="1" applyAlignment="1">
      <alignment horizontal="center" vertical="center" wrapText="1"/>
    </xf>
    <xf numFmtId="0" fontId="0" fillId="0" borderId="0" xfId="0" applyAlignment="1">
      <alignment horizontal="center"/>
    </xf>
    <xf numFmtId="0" fontId="3" fillId="0" borderId="1" xfId="0" applyFont="1" applyFill="1" applyBorder="1" applyAlignment="1">
      <alignment horizontal="center"/>
    </xf>
    <xf numFmtId="0" fontId="3" fillId="0" borderId="1" xfId="0" applyFont="1" applyFill="1" applyBorder="1" applyAlignment="1">
      <alignment horizontal="center" vertical="center"/>
    </xf>
    <xf numFmtId="0" fontId="3" fillId="2" borderId="1" xfId="0" applyFont="1" applyFill="1" applyBorder="1" applyAlignment="1">
      <alignment horizontal="center" vertical="center"/>
    </xf>
    <xf numFmtId="171" fontId="3" fillId="0" borderId="1" xfId="0" applyNumberFormat="1" applyFont="1" applyFill="1" applyBorder="1"/>
    <xf numFmtId="2" fontId="3" fillId="0" borderId="1" xfId="0" applyNumberFormat="1" applyFont="1" applyFill="1" applyBorder="1"/>
    <xf numFmtId="0" fontId="3" fillId="0" borderId="8" xfId="0" applyFont="1" applyFill="1" applyBorder="1"/>
    <xf numFmtId="0" fontId="3" fillId="0" borderId="7" xfId="0" applyFont="1" applyFill="1" applyBorder="1"/>
    <xf numFmtId="0" fontId="3" fillId="0" borderId="9" xfId="0" applyFont="1" applyFill="1" applyBorder="1"/>
    <xf numFmtId="2" fontId="3" fillId="0" borderId="0" xfId="0" applyNumberFormat="1" applyFont="1" applyBorder="1" applyAlignment="1">
      <alignment horizontal="right" vertical="center"/>
    </xf>
    <xf numFmtId="2" fontId="3" fillId="0" borderId="0" xfId="0" applyNumberFormat="1" applyFont="1" applyBorder="1" applyAlignment="1">
      <alignment vertical="center"/>
    </xf>
    <xf numFmtId="170" fontId="3" fillId="0" borderId="0" xfId="0" applyNumberFormat="1" applyFont="1" applyBorder="1" applyAlignment="1">
      <alignment vertical="center"/>
    </xf>
    <xf numFmtId="0" fontId="3" fillId="0" borderId="14" xfId="0" applyFont="1" applyBorder="1" applyAlignment="1">
      <alignment horizontal="left" vertical="center" indent="1"/>
    </xf>
    <xf numFmtId="0" fontId="8" fillId="0" borderId="14" xfId="0" applyFont="1" applyBorder="1" applyAlignment="1">
      <alignment horizontal="left" vertical="center"/>
    </xf>
    <xf numFmtId="2" fontId="3" fillId="0" borderId="14" xfId="0" applyNumberFormat="1" applyFont="1" applyBorder="1" applyAlignment="1">
      <alignment horizontal="right" vertical="center"/>
    </xf>
    <xf numFmtId="2" fontId="3" fillId="0" borderId="2" xfId="0" applyNumberFormat="1" applyFont="1" applyBorder="1" applyAlignment="1">
      <alignment horizontal="right" vertical="center"/>
    </xf>
    <xf numFmtId="0" fontId="3" fillId="0" borderId="2" xfId="0" applyFont="1" applyBorder="1" applyAlignment="1">
      <alignment horizontal="left" vertical="center"/>
    </xf>
    <xf numFmtId="0" fontId="3" fillId="0" borderId="2" xfId="0" applyFont="1" applyBorder="1" applyAlignment="1">
      <alignment horizontal="left" vertical="center" indent="1"/>
    </xf>
    <xf numFmtId="2" fontId="3" fillId="0" borderId="2" xfId="0" applyNumberFormat="1" applyFont="1" applyBorder="1" applyAlignment="1">
      <alignment vertical="center"/>
    </xf>
    <xf numFmtId="0" fontId="7" fillId="0" borderId="2" xfId="0" quotePrefix="1" applyFont="1" applyBorder="1" applyAlignment="1">
      <alignment horizontal="center" vertical="center"/>
    </xf>
    <xf numFmtId="0" fontId="9" fillId="0" borderId="0" xfId="0" applyFont="1" applyBorder="1" applyAlignment="1">
      <alignment horizontal="left" vertical="center"/>
    </xf>
    <xf numFmtId="1" fontId="3" fillId="0" borderId="0" xfId="0" applyNumberFormat="1" applyFont="1" applyFill="1"/>
    <xf numFmtId="0" fontId="2" fillId="0" borderId="1" xfId="0" applyFont="1" applyFill="1" applyBorder="1" applyAlignment="1">
      <alignment horizontal="center"/>
    </xf>
    <xf numFmtId="0" fontId="2" fillId="2" borderId="1" xfId="0" applyFont="1" applyFill="1" applyBorder="1" applyAlignment="1">
      <alignment horizontal="left"/>
    </xf>
    <xf numFmtId="0" fontId="0" fillId="0" borderId="0" xfId="0" applyFill="1" applyBorder="1" applyAlignment="1">
      <alignment horizontal="center" vertical="center"/>
    </xf>
    <xf numFmtId="0" fontId="0" fillId="0" borderId="0" xfId="0" applyFill="1" applyBorder="1" applyAlignment="1" applyProtection="1">
      <alignment horizontal="center" vertical="center"/>
      <protection locked="0"/>
    </xf>
    <xf numFmtId="0" fontId="3" fillId="0" borderId="0" xfId="0" applyFont="1" applyAlignment="1">
      <alignment horizontal="right" vertical="center"/>
    </xf>
    <xf numFmtId="0" fontId="3" fillId="0" borderId="0" xfId="0" applyFont="1" applyBorder="1" applyAlignment="1">
      <alignment horizontal="center" vertical="center"/>
    </xf>
    <xf numFmtId="0" fontId="3" fillId="0" borderId="0" xfId="0" applyFont="1" applyBorder="1" applyAlignment="1">
      <alignment horizontal="center" vertical="center"/>
    </xf>
    <xf numFmtId="0" fontId="7" fillId="0" borderId="17" xfId="0" applyFont="1" applyBorder="1" applyAlignment="1">
      <alignment horizontal="right" vertical="center"/>
    </xf>
    <xf numFmtId="0" fontId="2" fillId="0" borderId="20" xfId="0" applyFont="1" applyBorder="1" applyAlignment="1">
      <alignment vertical="center"/>
    </xf>
    <xf numFmtId="0" fontId="2" fillId="0" borderId="0" xfId="0" applyFont="1" applyBorder="1" applyAlignment="1">
      <alignment vertical="center"/>
    </xf>
    <xf numFmtId="0" fontId="3" fillId="0" borderId="2" xfId="0" applyFont="1" applyBorder="1" applyAlignment="1">
      <alignment horizontal="center" vertical="center"/>
    </xf>
    <xf numFmtId="0" fontId="3" fillId="0" borderId="2" xfId="0" applyFont="1" applyBorder="1" applyAlignment="1">
      <alignment vertical="center"/>
    </xf>
    <xf numFmtId="0" fontId="3" fillId="0" borderId="18" xfId="0" applyFont="1" applyBorder="1" applyAlignment="1">
      <alignment vertical="center"/>
    </xf>
    <xf numFmtId="0" fontId="3" fillId="0" borderId="19" xfId="0" applyFont="1" applyBorder="1" applyAlignment="1">
      <alignment vertical="center"/>
    </xf>
    <xf numFmtId="0" fontId="2" fillId="0" borderId="23" xfId="0" applyFont="1" applyBorder="1" applyAlignment="1">
      <alignment vertical="center"/>
    </xf>
    <xf numFmtId="0" fontId="3" fillId="0" borderId="23" xfId="0" applyFont="1" applyBorder="1" applyAlignment="1">
      <alignment horizontal="center" vertical="center"/>
    </xf>
    <xf numFmtId="0" fontId="3" fillId="0" borderId="23" xfId="0" applyFont="1" applyBorder="1" applyAlignment="1">
      <alignment vertical="center"/>
    </xf>
    <xf numFmtId="0" fontId="3" fillId="0" borderId="21" xfId="0" applyFont="1" applyBorder="1" applyAlignment="1">
      <alignment vertical="center"/>
    </xf>
    <xf numFmtId="0" fontId="7" fillId="0" borderId="24" xfId="0" applyFont="1" applyBorder="1" applyAlignment="1">
      <alignment horizontal="right" vertical="center"/>
    </xf>
    <xf numFmtId="0" fontId="2" fillId="0" borderId="25" xfId="0" applyFont="1" applyBorder="1" applyAlignment="1">
      <alignment vertical="center"/>
    </xf>
    <xf numFmtId="0" fontId="3" fillId="0" borderId="25" xfId="0" applyFont="1" applyBorder="1" applyAlignment="1">
      <alignment horizontal="center" vertical="center"/>
    </xf>
    <xf numFmtId="0" fontId="3" fillId="0" borderId="25" xfId="0" applyFont="1" applyBorder="1" applyAlignment="1">
      <alignment vertical="center"/>
    </xf>
    <xf numFmtId="0" fontId="3" fillId="0" borderId="26" xfId="0" applyFont="1" applyBorder="1" applyAlignment="1">
      <alignment vertical="center"/>
    </xf>
    <xf numFmtId="0" fontId="7" fillId="0" borderId="20" xfId="0" applyFont="1" applyBorder="1" applyAlignment="1">
      <alignment horizontal="right" vertical="center"/>
    </xf>
    <xf numFmtId="0" fontId="9" fillId="4" borderId="6" xfId="0" applyFont="1" applyFill="1" applyBorder="1" applyAlignment="1">
      <alignment horizontal="center" vertical="center"/>
    </xf>
    <xf numFmtId="0" fontId="3" fillId="0" borderId="0" xfId="0" applyFont="1" applyBorder="1" applyAlignment="1">
      <alignment horizontal="center" vertical="center"/>
    </xf>
    <xf numFmtId="0" fontId="9" fillId="2" borderId="27" xfId="0" applyFont="1" applyFill="1" applyBorder="1" applyAlignment="1">
      <alignment horizontal="center" vertical="center"/>
    </xf>
    <xf numFmtId="0" fontId="9" fillId="4" borderId="28" xfId="0" applyFont="1" applyFill="1" applyBorder="1" applyAlignment="1">
      <alignment horizontal="center" vertical="center"/>
    </xf>
    <xf numFmtId="0" fontId="9" fillId="4" borderId="29" xfId="0" applyFont="1" applyFill="1" applyBorder="1" applyAlignment="1">
      <alignment horizontal="center" vertical="center"/>
    </xf>
    <xf numFmtId="0" fontId="9" fillId="2" borderId="30" xfId="0" applyFont="1" applyFill="1" applyBorder="1" applyAlignment="1">
      <alignment horizontal="center" vertical="center"/>
    </xf>
    <xf numFmtId="49" fontId="3" fillId="0" borderId="31" xfId="0" applyNumberFormat="1" applyFont="1" applyFill="1" applyBorder="1" applyAlignment="1">
      <alignment horizontal="center" vertical="center" wrapText="1"/>
    </xf>
    <xf numFmtId="49" fontId="3" fillId="0" borderId="31" xfId="0" applyNumberFormat="1" applyFont="1" applyBorder="1" applyAlignment="1">
      <alignment horizontal="center" wrapText="1"/>
    </xf>
    <xf numFmtId="172" fontId="3" fillId="0" borderId="31" xfId="0" applyNumberFormat="1" applyFont="1" applyBorder="1" applyAlignment="1">
      <alignment horizontal="center" wrapText="1"/>
    </xf>
    <xf numFmtId="2" fontId="9" fillId="0" borderId="34" xfId="0" applyNumberFormat="1" applyFont="1" applyFill="1" applyBorder="1" applyAlignment="1">
      <alignment horizontal="center" vertical="center"/>
    </xf>
    <xf numFmtId="2" fontId="9" fillId="0" borderId="32" xfId="0" applyNumberFormat="1" applyFont="1" applyFill="1" applyBorder="1" applyAlignment="1">
      <alignment horizontal="center" vertical="center"/>
    </xf>
    <xf numFmtId="0" fontId="9" fillId="4" borderId="33" xfId="0" applyFont="1" applyFill="1" applyBorder="1" applyAlignment="1">
      <alignment horizontal="center" vertical="center"/>
    </xf>
    <xf numFmtId="0" fontId="9" fillId="4"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2" borderId="31" xfId="0" applyFont="1" applyFill="1" applyBorder="1" applyAlignment="1">
      <alignment horizontal="center" vertical="center"/>
    </xf>
    <xf numFmtId="2" fontId="14" fillId="5" borderId="32" xfId="0" applyNumberFormat="1" applyFont="1" applyFill="1" applyBorder="1" applyAlignment="1">
      <alignment horizontal="right" vertical="center"/>
    </xf>
    <xf numFmtId="0" fontId="9" fillId="6" borderId="27" xfId="0" applyFont="1" applyFill="1" applyBorder="1" applyAlignment="1">
      <alignment horizontal="center" vertical="center"/>
    </xf>
    <xf numFmtId="165" fontId="3" fillId="0" borderId="31" xfId="0" applyNumberFormat="1" applyFont="1" applyFill="1" applyBorder="1" applyAlignment="1">
      <alignment horizontal="right" vertical="center"/>
    </xf>
    <xf numFmtId="2" fontId="14" fillId="5" borderId="31" xfId="0" applyNumberFormat="1" applyFont="1" applyFill="1" applyBorder="1" applyAlignment="1">
      <alignment horizontal="right" vertical="center"/>
    </xf>
    <xf numFmtId="0" fontId="9" fillId="4" borderId="12" xfId="0" applyFont="1" applyFill="1" applyBorder="1" applyAlignment="1">
      <alignment horizontal="center" vertical="center"/>
    </xf>
    <xf numFmtId="2" fontId="9" fillId="0" borderId="36" xfId="0" applyNumberFormat="1" applyFont="1" applyFill="1" applyBorder="1" applyAlignment="1">
      <alignment horizontal="center" vertical="center"/>
    </xf>
    <xf numFmtId="2" fontId="3" fillId="10" borderId="4" xfId="0" applyNumberFormat="1" applyFont="1" applyFill="1" applyBorder="1" applyAlignment="1">
      <alignment horizontal="right" vertical="center"/>
    </xf>
    <xf numFmtId="173" fontId="3" fillId="0" borderId="0" xfId="0" applyNumberFormat="1" applyFont="1" applyBorder="1" applyAlignment="1">
      <alignment vertical="center"/>
    </xf>
    <xf numFmtId="2" fontId="3" fillId="0" borderId="0" xfId="0" applyNumberFormat="1" applyFont="1" applyFill="1"/>
    <xf numFmtId="166" fontId="7" fillId="0" borderId="0" xfId="0" applyNumberFormat="1" applyFont="1" applyBorder="1" applyAlignment="1">
      <alignment horizontal="center" vertical="center"/>
    </xf>
    <xf numFmtId="0" fontId="3" fillId="0" borderId="0" xfId="0" applyFont="1" applyBorder="1" applyAlignment="1">
      <alignment horizontal="right" indent="1"/>
    </xf>
    <xf numFmtId="0" fontId="9" fillId="7" borderId="13" xfId="0" applyFont="1" applyFill="1" applyBorder="1" applyAlignment="1">
      <alignment horizontal="left" vertical="center" indent="1"/>
    </xf>
    <xf numFmtId="0" fontId="9" fillId="7" borderId="5" xfId="0" applyFont="1" applyFill="1" applyBorder="1" applyAlignment="1">
      <alignment horizontal="left" vertical="center" indent="1"/>
    </xf>
    <xf numFmtId="0" fontId="9" fillId="7" borderId="39" xfId="0" applyFont="1" applyFill="1" applyBorder="1" applyAlignment="1">
      <alignment horizontal="left" vertical="center" indent="1"/>
    </xf>
    <xf numFmtId="0" fontId="9" fillId="8" borderId="42" xfId="0" applyFont="1" applyFill="1" applyBorder="1" applyAlignment="1">
      <alignment horizontal="left" vertical="center" indent="2"/>
    </xf>
    <xf numFmtId="0" fontId="9" fillId="8" borderId="40" xfId="0" applyFont="1" applyFill="1" applyBorder="1" applyAlignment="1">
      <alignment horizontal="left" vertical="center" indent="2"/>
    </xf>
    <xf numFmtId="168" fontId="9" fillId="8" borderId="40" xfId="0" applyNumberFormat="1" applyFont="1" applyFill="1" applyBorder="1" applyAlignment="1">
      <alignment horizontal="left" vertical="center" indent="2"/>
    </xf>
    <xf numFmtId="0" fontId="9" fillId="8" borderId="41" xfId="0" applyFont="1" applyFill="1" applyBorder="1" applyAlignment="1">
      <alignment horizontal="left" vertical="center" indent="2"/>
    </xf>
    <xf numFmtId="172" fontId="3" fillId="0" borderId="0" xfId="0" applyNumberFormat="1" applyFont="1" applyFill="1"/>
    <xf numFmtId="175" fontId="3" fillId="0" borderId="0" xfId="0" applyNumberFormat="1" applyFont="1" applyFill="1"/>
    <xf numFmtId="0" fontId="3" fillId="0" borderId="0" xfId="0" applyFont="1" applyAlignment="1">
      <alignment vertical="center" textRotation="135"/>
    </xf>
    <xf numFmtId="0" fontId="2" fillId="2" borderId="1" xfId="0" applyFont="1" applyFill="1" applyBorder="1" applyAlignment="1">
      <alignment horizontal="center" wrapText="1"/>
    </xf>
    <xf numFmtId="176" fontId="3" fillId="0" borderId="32" xfId="0" applyNumberFormat="1" applyFont="1" applyFill="1" applyBorder="1" applyAlignment="1" applyProtection="1">
      <alignment horizontal="center" vertical="center"/>
      <protection locked="0"/>
    </xf>
    <xf numFmtId="0" fontId="3" fillId="0" borderId="0" xfId="0" quotePrefix="1" applyFont="1" applyAlignment="1">
      <alignment vertical="center"/>
    </xf>
    <xf numFmtId="0" fontId="3" fillId="0" borderId="0" xfId="0" applyFont="1" applyBorder="1" applyAlignment="1">
      <alignment horizontal="left" vertical="center" indent="1"/>
    </xf>
    <xf numFmtId="0" fontId="2" fillId="0" borderId="0" xfId="0" applyFont="1" applyBorder="1" applyAlignment="1">
      <alignment horizontal="right" vertical="center"/>
    </xf>
    <xf numFmtId="0" fontId="19" fillId="0" borderId="0" xfId="0" applyFont="1" applyBorder="1" applyAlignment="1">
      <alignment horizontal="right" vertical="center"/>
    </xf>
    <xf numFmtId="165" fontId="3" fillId="0" borderId="8" xfId="0" applyNumberFormat="1" applyFont="1" applyFill="1" applyBorder="1" applyAlignment="1">
      <alignment horizontal="center"/>
    </xf>
    <xf numFmtId="165" fontId="3" fillId="0" borderId="7" xfId="0" applyNumberFormat="1" applyFont="1" applyFill="1" applyBorder="1" applyAlignment="1">
      <alignment horizontal="center"/>
    </xf>
    <xf numFmtId="165" fontId="3" fillId="0" borderId="9" xfId="0" applyNumberFormat="1" applyFont="1" applyFill="1" applyBorder="1" applyAlignment="1">
      <alignment horizontal="center"/>
    </xf>
    <xf numFmtId="165" fontId="3" fillId="0" borderId="10" xfId="0" applyNumberFormat="1" applyFont="1" applyFill="1" applyBorder="1" applyAlignment="1">
      <alignment horizontal="center"/>
    </xf>
    <xf numFmtId="165" fontId="3" fillId="0" borderId="0" xfId="0" applyNumberFormat="1" applyFont="1" applyFill="1" applyBorder="1" applyAlignment="1">
      <alignment horizontal="center"/>
    </xf>
    <xf numFmtId="165" fontId="3" fillId="0" borderId="11" xfId="0" applyNumberFormat="1" applyFont="1" applyFill="1" applyBorder="1" applyAlignment="1">
      <alignment horizontal="center"/>
    </xf>
    <xf numFmtId="165" fontId="3" fillId="0" borderId="12" xfId="0" applyNumberFormat="1" applyFont="1" applyFill="1" applyBorder="1" applyAlignment="1">
      <alignment horizontal="center"/>
    </xf>
    <xf numFmtId="165" fontId="3" fillId="0" borderId="2" xfId="0" applyNumberFormat="1" applyFont="1" applyFill="1" applyBorder="1" applyAlignment="1">
      <alignment horizontal="center"/>
    </xf>
    <xf numFmtId="165" fontId="3" fillId="0" borderId="13" xfId="0" applyNumberFormat="1" applyFont="1" applyFill="1" applyBorder="1" applyAlignment="1">
      <alignment horizontal="center"/>
    </xf>
    <xf numFmtId="0" fontId="3" fillId="0" borderId="1" xfId="0" applyFont="1" applyFill="1" applyBorder="1" applyAlignment="1">
      <alignment horizontal="center"/>
    </xf>
    <xf numFmtId="0" fontId="3" fillId="0" borderId="4" xfId="0" applyFont="1" applyFill="1" applyBorder="1" applyAlignment="1">
      <alignment horizontal="center"/>
    </xf>
    <xf numFmtId="0" fontId="3" fillId="0" borderId="3" xfId="0" applyFont="1" applyFill="1" applyBorder="1" applyAlignment="1">
      <alignment horizontal="center"/>
    </xf>
    <xf numFmtId="0" fontId="3" fillId="0" borderId="5" xfId="0" applyFont="1" applyFill="1" applyBorder="1" applyAlignment="1">
      <alignment horizontal="center"/>
    </xf>
    <xf numFmtId="0" fontId="9" fillId="4" borderId="37" xfId="0" applyFont="1" applyFill="1" applyBorder="1" applyAlignment="1">
      <alignment horizontal="center" vertical="center"/>
    </xf>
    <xf numFmtId="0" fontId="9" fillId="4" borderId="6" xfId="0" applyFont="1" applyFill="1" applyBorder="1" applyAlignment="1">
      <alignment horizontal="center" vertical="center"/>
    </xf>
    <xf numFmtId="0" fontId="9" fillId="4" borderId="38" xfId="0" applyFont="1" applyFill="1" applyBorder="1" applyAlignment="1">
      <alignment horizontal="center" vertical="center"/>
    </xf>
    <xf numFmtId="0" fontId="9" fillId="4" borderId="36" xfId="0" applyFont="1" applyFill="1" applyBorder="1" applyAlignment="1">
      <alignment horizontal="center" vertical="center"/>
    </xf>
    <xf numFmtId="0" fontId="18" fillId="9" borderId="24" xfId="0" applyFont="1" applyFill="1" applyBorder="1" applyAlignment="1">
      <alignment horizontal="center" vertical="center"/>
    </xf>
    <xf numFmtId="0" fontId="18" fillId="9" borderId="26" xfId="0" applyFont="1" applyFill="1" applyBorder="1" applyAlignment="1">
      <alignment horizontal="center" vertical="center"/>
    </xf>
    <xf numFmtId="0" fontId="18" fillId="9" borderId="17" xfId="0" applyFont="1" applyFill="1" applyBorder="1" applyAlignment="1">
      <alignment horizontal="center" vertical="center"/>
    </xf>
    <xf numFmtId="0" fontId="18" fillId="9" borderId="18" xfId="0" applyFont="1" applyFill="1" applyBorder="1" applyAlignment="1">
      <alignment horizontal="center" vertical="center"/>
    </xf>
    <xf numFmtId="0" fontId="18" fillId="9" borderId="20" xfId="0" applyFont="1" applyFill="1" applyBorder="1" applyAlignment="1">
      <alignment horizontal="center" vertical="center"/>
    </xf>
    <xf numFmtId="0" fontId="18" fillId="9" borderId="21" xfId="0" applyFont="1" applyFill="1" applyBorder="1" applyAlignment="1">
      <alignment horizontal="center" vertical="center"/>
    </xf>
    <xf numFmtId="0" fontId="3" fillId="0" borderId="15" xfId="0" applyFont="1" applyFill="1" applyBorder="1" applyAlignment="1">
      <alignment horizontal="center" vertical="center"/>
    </xf>
    <xf numFmtId="0" fontId="3" fillId="0" borderId="22" xfId="0" applyFont="1" applyFill="1" applyBorder="1" applyAlignment="1">
      <alignment horizontal="center" vertical="center"/>
    </xf>
    <xf numFmtId="0" fontId="3" fillId="0" borderId="16" xfId="0" applyFont="1" applyFill="1" applyBorder="1" applyAlignment="1">
      <alignment horizontal="center" vertical="center"/>
    </xf>
    <xf numFmtId="0" fontId="9" fillId="6" borderId="43" xfId="0" applyFont="1" applyFill="1" applyBorder="1" applyAlignment="1">
      <alignment horizontal="center" vertical="center"/>
    </xf>
    <xf numFmtId="0" fontId="9" fillId="6" borderId="45" xfId="0" applyFont="1" applyFill="1" applyBorder="1" applyAlignment="1">
      <alignment horizontal="center" vertical="center"/>
    </xf>
    <xf numFmtId="0" fontId="9" fillId="4" borderId="35" xfId="0" applyFont="1" applyFill="1" applyBorder="1" applyAlignment="1">
      <alignment horizontal="center" vertical="center"/>
    </xf>
    <xf numFmtId="0" fontId="3" fillId="0" borderId="8" xfId="0" applyFont="1" applyFill="1" applyBorder="1" applyAlignment="1">
      <alignment horizontal="center"/>
    </xf>
    <xf numFmtId="0" fontId="3" fillId="0" borderId="7" xfId="0" applyFont="1" applyFill="1" applyBorder="1" applyAlignment="1">
      <alignment horizontal="center"/>
    </xf>
    <xf numFmtId="0" fontId="3" fillId="0" borderId="9" xfId="0" applyFont="1" applyFill="1" applyBorder="1" applyAlignment="1">
      <alignment horizontal="center"/>
    </xf>
    <xf numFmtId="0" fontId="3" fillId="0" borderId="12" xfId="0" applyFont="1" applyFill="1" applyBorder="1" applyAlignment="1">
      <alignment horizontal="center"/>
    </xf>
    <xf numFmtId="0" fontId="3" fillId="0" borderId="2" xfId="0" applyFont="1" applyFill="1" applyBorder="1" applyAlignment="1">
      <alignment horizontal="center"/>
    </xf>
    <xf numFmtId="0" fontId="3" fillId="0" borderId="13" xfId="0" applyFont="1" applyFill="1" applyBorder="1" applyAlignment="1">
      <alignment horizontal="center"/>
    </xf>
    <xf numFmtId="0" fontId="9" fillId="6" borderId="44" xfId="0" applyFont="1" applyFill="1" applyBorder="1" applyAlignment="1">
      <alignment horizontal="center" vertical="center"/>
    </xf>
    <xf numFmtId="170" fontId="3" fillId="0" borderId="0" xfId="0" applyNumberFormat="1" applyFont="1" applyBorder="1" applyAlignment="1">
      <alignment horizontal="left"/>
    </xf>
    <xf numFmtId="0" fontId="7" fillId="0" borderId="2" xfId="0" applyFont="1" applyBorder="1" applyAlignment="1">
      <alignment horizontal="center" vertical="center"/>
    </xf>
    <xf numFmtId="166" fontId="3" fillId="0" borderId="7" xfId="0" applyNumberFormat="1" applyFont="1" applyBorder="1" applyAlignment="1">
      <alignment horizontal="left" vertical="center"/>
    </xf>
    <xf numFmtId="0" fontId="7" fillId="0" borderId="7" xfId="0" quotePrefix="1" applyFont="1" applyBorder="1" applyAlignment="1">
      <alignment horizontal="center" vertical="center"/>
    </xf>
    <xf numFmtId="0" fontId="2" fillId="0" borderId="0" xfId="0" quotePrefix="1" applyFont="1" applyBorder="1" applyAlignment="1">
      <alignment horizontal="right" vertical="center" wrapText="1" indent="1"/>
    </xf>
    <xf numFmtId="0" fontId="2" fillId="0" borderId="0" xfId="0" applyFont="1" applyBorder="1" applyAlignment="1">
      <alignment horizontal="right" vertical="center" indent="1"/>
    </xf>
    <xf numFmtId="0" fontId="15" fillId="0" borderId="0" xfId="0" applyFont="1" applyBorder="1" applyAlignment="1">
      <alignment horizontal="left" vertical="center"/>
    </xf>
    <xf numFmtId="0" fontId="3" fillId="0" borderId="0" xfId="0" applyFont="1" applyBorder="1" applyAlignment="1">
      <alignment horizontal="left"/>
    </xf>
    <xf numFmtId="0" fontId="9" fillId="0" borderId="0" xfId="0" applyFont="1" applyBorder="1" applyAlignment="1">
      <alignment horizontal="left" vertical="center"/>
    </xf>
    <xf numFmtId="0" fontId="7" fillId="0" borderId="0" xfId="0" applyFont="1" applyBorder="1" applyAlignment="1">
      <alignment horizontal="left" vertical="center" indent="1"/>
    </xf>
    <xf numFmtId="166" fontId="7" fillId="0" borderId="0" xfId="0" applyNumberFormat="1" applyFont="1" applyBorder="1" applyAlignment="1">
      <alignment horizontal="left" vertical="center"/>
    </xf>
    <xf numFmtId="166" fontId="3" fillId="0" borderId="2" xfId="0" applyNumberFormat="1" applyFont="1" applyBorder="1" applyAlignment="1">
      <alignment horizontal="left" vertical="center"/>
    </xf>
    <xf numFmtId="0" fontId="3" fillId="0" borderId="0" xfId="0" applyFont="1" applyBorder="1" applyAlignment="1">
      <alignment horizontal="left" vertical="center"/>
    </xf>
    <xf numFmtId="166" fontId="3" fillId="0" borderId="0" xfId="0" applyNumberFormat="1" applyFont="1" applyBorder="1" applyAlignment="1">
      <alignment horizontal="left" vertical="center"/>
    </xf>
    <xf numFmtId="0" fontId="3" fillId="0" borderId="0" xfId="0" applyFont="1" applyAlignment="1">
      <alignment horizontal="right" vertical="center"/>
    </xf>
    <xf numFmtId="0" fontId="16" fillId="0" borderId="0" xfId="0" applyFont="1" applyFill="1" applyAlignment="1" applyProtection="1">
      <alignment horizontal="left" vertical="top" wrapText="1"/>
    </xf>
    <xf numFmtId="0" fontId="5" fillId="0" borderId="0" xfId="0" applyFont="1" applyFill="1" applyAlignment="1" applyProtection="1">
      <alignment horizontal="center" vertical="center"/>
    </xf>
    <xf numFmtId="0" fontId="5" fillId="0" borderId="0" xfId="0" quotePrefix="1" applyFont="1" applyFill="1" applyAlignment="1" applyProtection="1">
      <alignment horizontal="center" vertical="center"/>
    </xf>
    <xf numFmtId="0" fontId="5" fillId="0" borderId="0" xfId="0" applyFont="1" applyFill="1" applyAlignment="1" applyProtection="1">
      <alignment horizontal="right" vertical="center"/>
    </xf>
    <xf numFmtId="0" fontId="6" fillId="0" borderId="0" xfId="0" quotePrefix="1" applyFont="1" applyFill="1" applyAlignment="1" applyProtection="1">
      <alignment horizontal="right" vertical="center"/>
    </xf>
    <xf numFmtId="174" fontId="5" fillId="0" borderId="0" xfId="0" applyNumberFormat="1" applyFont="1" applyFill="1" applyAlignment="1" applyProtection="1">
      <alignment horizontal="left" vertical="center"/>
    </xf>
    <xf numFmtId="0" fontId="13" fillId="0" borderId="0" xfId="0" applyFont="1" applyFill="1" applyAlignment="1" applyProtection="1">
      <alignment horizontal="center" vertical="top"/>
    </xf>
    <xf numFmtId="0" fontId="3" fillId="0" borderId="0" xfId="0" applyFont="1" applyAlignment="1">
      <alignment horizontal="left" vertical="top" wrapText="1"/>
    </xf>
    <xf numFmtId="0" fontId="10" fillId="0" borderId="0" xfId="0" applyFont="1" applyAlignment="1">
      <alignment horizontal="center" vertical="center"/>
    </xf>
    <xf numFmtId="0" fontId="3" fillId="0" borderId="2" xfId="0" applyFont="1" applyBorder="1" applyAlignment="1">
      <alignment horizontal="center" vertical="center"/>
    </xf>
    <xf numFmtId="0" fontId="7" fillId="0" borderId="17" xfId="0" applyFont="1" applyBorder="1" applyAlignment="1">
      <alignment horizontal="center" vertical="center"/>
    </xf>
    <xf numFmtId="0" fontId="7" fillId="0" borderId="0" xfId="0" applyFont="1" applyBorder="1" applyAlignment="1">
      <alignment horizontal="center" vertical="center"/>
    </xf>
    <xf numFmtId="0" fontId="9" fillId="0" borderId="15" xfId="0" applyFont="1" applyBorder="1" applyAlignment="1">
      <alignment horizontal="center" vertical="center"/>
    </xf>
    <xf numFmtId="0" fontId="9" fillId="0" borderId="22" xfId="0" applyFont="1" applyBorder="1" applyAlignment="1">
      <alignment horizontal="center" vertical="center"/>
    </xf>
    <xf numFmtId="0" fontId="9" fillId="0" borderId="16" xfId="0" applyFont="1" applyBorder="1" applyAlignment="1">
      <alignment horizontal="center" vertical="center"/>
    </xf>
    <xf numFmtId="0" fontId="3" fillId="0" borderId="0" xfId="0" applyFont="1" applyBorder="1" applyAlignment="1">
      <alignment horizontal="center" vertical="center"/>
    </xf>
    <xf numFmtId="177" fontId="2" fillId="0" borderId="0" xfId="0" applyNumberFormat="1" applyFont="1" applyBorder="1" applyAlignment="1">
      <alignment horizontal="left" vertical="center" indent="1"/>
    </xf>
    <xf numFmtId="0" fontId="11" fillId="0" borderId="15" xfId="0" applyFont="1" applyBorder="1" applyAlignment="1">
      <alignment horizontal="center" vertical="center"/>
    </xf>
    <xf numFmtId="0" fontId="11" fillId="0" borderId="22" xfId="0" applyFont="1" applyBorder="1" applyAlignment="1">
      <alignment horizontal="center" vertical="center"/>
    </xf>
    <xf numFmtId="0" fontId="11" fillId="0" borderId="16" xfId="0" applyFont="1" applyBorder="1" applyAlignment="1">
      <alignment horizontal="center" vertical="center"/>
    </xf>
    <xf numFmtId="0" fontId="2" fillId="0" borderId="25" xfId="0" applyFont="1" applyBorder="1" applyAlignment="1">
      <alignment horizontal="left" vertical="top" wrapText="1"/>
    </xf>
    <xf numFmtId="0" fontId="2" fillId="3" borderId="1" xfId="0" applyFont="1" applyFill="1" applyBorder="1" applyAlignment="1">
      <alignment horizontal="center"/>
    </xf>
    <xf numFmtId="0" fontId="2" fillId="3" borderId="4" xfId="0" applyFont="1" applyFill="1" applyBorder="1" applyAlignment="1">
      <alignment horizontal="center"/>
    </xf>
    <xf numFmtId="0" fontId="2" fillId="3" borderId="3" xfId="0" applyFont="1" applyFill="1" applyBorder="1" applyAlignment="1">
      <alignment horizontal="center"/>
    </xf>
    <xf numFmtId="0" fontId="2" fillId="3" borderId="5" xfId="0" applyFont="1" applyFill="1" applyBorder="1" applyAlignment="1">
      <alignment horizontal="center"/>
    </xf>
    <xf numFmtId="0" fontId="0" fillId="0" borderId="0" xfId="0" applyFill="1" applyBorder="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0</xdr:col>
      <xdr:colOff>24343</xdr:colOff>
      <xdr:row>0</xdr:row>
      <xdr:rowOff>24115</xdr:rowOff>
    </xdr:from>
    <xdr:to>
      <xdr:col>4</xdr:col>
      <xdr:colOff>624969</xdr:colOff>
      <xdr:row>0</xdr:row>
      <xdr:rowOff>703385</xdr:rowOff>
    </xdr:to>
    <xdr:pic>
      <xdr:nvPicPr>
        <xdr:cNvPr id="2" name="그림 1" descr="logo.jpg"/>
        <xdr:cNvPicPr>
          <a:picLocks noChangeAspect="1"/>
        </xdr:cNvPicPr>
      </xdr:nvPicPr>
      <xdr:blipFill>
        <a:blip xmlns:r="http://schemas.openxmlformats.org/officeDocument/2006/relationships" r:embed="rId1" cstate="print"/>
        <a:stretch>
          <a:fillRect/>
        </a:stretch>
      </xdr:blipFill>
      <xdr:spPr>
        <a:xfrm>
          <a:off x="24343" y="24115"/>
          <a:ext cx="2791376" cy="6792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276</xdr:row>
      <xdr:rowOff>0</xdr:rowOff>
    </xdr:from>
    <xdr:to>
      <xdr:col>4</xdr:col>
      <xdr:colOff>9525</xdr:colOff>
      <xdr:row>276</xdr:row>
      <xdr:rowOff>9525</xdr:rowOff>
    </xdr:to>
    <xdr:pic>
      <xdr:nvPicPr>
        <xdr:cNvPr id="2" name="Picture 1" descr="https://mail.google.com/mail/u/0/images/cleardot.gif"/>
        <xdr:cNvPicPr>
          <a:picLocks noChangeAspect="1" noChangeArrowheads="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6762750" y="18716625"/>
          <a:ext cx="9525" cy="95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tabColor rgb="FFFFFF00"/>
  </sheetPr>
  <dimension ref="A1:O45"/>
  <sheetViews>
    <sheetView showGridLines="0" tabSelected="1" workbookViewId="0">
      <pane xSplit="12" ySplit="14" topLeftCell="M15" activePane="bottomRight" state="frozen"/>
      <selection pane="topRight" activeCell="M1" sqref="M1"/>
      <selection pane="bottomLeft" activeCell="A15" sqref="A15"/>
      <selection pane="bottomRight" activeCell="E4" sqref="E4"/>
    </sheetView>
  </sheetViews>
  <sheetFormatPr defaultColWidth="9" defaultRowHeight="12.75"/>
  <cols>
    <col min="1" max="4" width="15.7109375" style="5" customWidth="1"/>
    <col min="5" max="5" width="20.7109375" style="5" customWidth="1"/>
    <col min="6" max="7" width="10.7109375" style="5" customWidth="1"/>
    <col min="8" max="8" width="9" style="5" hidden="1" customWidth="1"/>
    <col min="9" max="9" width="22" style="5" hidden="1" customWidth="1"/>
    <col min="10" max="10" width="9" style="5" hidden="1" customWidth="1"/>
    <col min="11" max="11" width="10" style="5" hidden="1" customWidth="1"/>
    <col min="12" max="12" width="9.5703125" style="5" hidden="1" customWidth="1"/>
    <col min="13" max="18" width="9" style="5" customWidth="1"/>
    <col min="19" max="16384" width="9" style="5"/>
  </cols>
  <sheetData>
    <row r="1" spans="1:11" ht="15" customHeight="1">
      <c r="A1" s="74" t="s">
        <v>283</v>
      </c>
      <c r="B1" s="75" t="str">
        <f>IF(productType="Unlock","Carrier","Type")</f>
        <v>Type</v>
      </c>
      <c r="C1" s="75" t="s">
        <v>34</v>
      </c>
      <c r="D1" s="75" t="s">
        <v>59</v>
      </c>
      <c r="E1" s="75" t="s">
        <v>60</v>
      </c>
      <c r="F1" s="75" t="s">
        <v>61</v>
      </c>
      <c r="G1" s="76" t="s">
        <v>62</v>
      </c>
    </row>
    <row r="2" spans="1:11" ht="15" customHeight="1" thickBot="1">
      <c r="A2" s="77" t="s">
        <v>70</v>
      </c>
      <c r="B2" s="78"/>
      <c r="C2" s="80"/>
      <c r="D2" s="79"/>
      <c r="E2" s="79"/>
      <c r="F2" s="79"/>
      <c r="G2" s="109">
        <v>0</v>
      </c>
    </row>
    <row r="3" spans="1:11" ht="15" customHeight="1" thickBot="1">
      <c r="A3" s="137"/>
      <c r="B3" s="138"/>
      <c r="C3" s="138"/>
      <c r="D3" s="138"/>
      <c r="E3" s="138"/>
      <c r="F3" s="138"/>
      <c r="G3" s="139"/>
    </row>
    <row r="4" spans="1:11" ht="15" customHeight="1" thickBot="1">
      <c r="A4" s="140" t="s">
        <v>53</v>
      </c>
      <c r="B4" s="149"/>
      <c r="C4" s="149"/>
      <c r="D4" s="141"/>
      <c r="E4" s="101" t="s">
        <v>442</v>
      </c>
      <c r="F4" s="140" t="s">
        <v>65</v>
      </c>
      <c r="G4" s="141"/>
    </row>
    <row r="5" spans="1:11" ht="15" customHeight="1">
      <c r="A5" s="142" t="s">
        <v>63</v>
      </c>
      <c r="B5" s="128"/>
      <c r="C5" s="72" t="s">
        <v>64</v>
      </c>
      <c r="D5" s="91" t="s">
        <v>5</v>
      </c>
      <c r="E5" s="101" t="s">
        <v>275</v>
      </c>
      <c r="F5" s="98" t="str">
        <f>IF(item1="Credit","Credit","Discount")</f>
        <v>Discount</v>
      </c>
      <c r="G5" s="92"/>
    </row>
    <row r="6" spans="1:11" ht="15" customHeight="1">
      <c r="A6" s="83">
        <v>1</v>
      </c>
      <c r="B6" s="48"/>
      <c r="C6" s="29" t="s">
        <v>405</v>
      </c>
      <c r="D6" s="93" t="str">
        <f>IFERROR(I24-K24,"")</f>
        <v/>
      </c>
      <c r="E6" s="102" t="s">
        <v>276</v>
      </c>
      <c r="F6" s="99" t="s">
        <v>33</v>
      </c>
      <c r="G6" s="81"/>
      <c r="H6" s="6"/>
      <c r="J6" s="6"/>
      <c r="K6" s="6"/>
    </row>
    <row r="7" spans="1:11" ht="15" customHeight="1">
      <c r="A7" s="83">
        <v>2</v>
      </c>
      <c r="B7" s="28"/>
      <c r="C7" s="29" t="s">
        <v>405</v>
      </c>
      <c r="D7" s="93" t="str">
        <f>IFERROR(I25-K25,"")</f>
        <v/>
      </c>
      <c r="E7" s="103" t="s">
        <v>265</v>
      </c>
      <c r="F7" s="99" t="s">
        <v>289</v>
      </c>
      <c r="G7" s="81"/>
      <c r="H7" s="6"/>
      <c r="J7" s="6"/>
      <c r="K7" s="6"/>
    </row>
    <row r="8" spans="1:11" ht="15" customHeight="1">
      <c r="A8" s="83">
        <v>3</v>
      </c>
      <c r="B8" s="28"/>
      <c r="C8" s="29" t="s">
        <v>405</v>
      </c>
      <c r="D8" s="93" t="str">
        <f>IFERROR(I26-K26,"")</f>
        <v/>
      </c>
      <c r="E8" s="102" t="s">
        <v>277</v>
      </c>
      <c r="F8" s="99" t="str">
        <f>IF(productType="unlock","Unlock","Phone")</f>
        <v>Phone</v>
      </c>
      <c r="G8" s="81"/>
      <c r="H8" s="6"/>
      <c r="J8" s="6"/>
      <c r="K8" s="6"/>
    </row>
    <row r="9" spans="1:11" ht="15" customHeight="1">
      <c r="A9" s="83">
        <v>4</v>
      </c>
      <c r="B9" s="28"/>
      <c r="C9" s="29" t="s">
        <v>405</v>
      </c>
      <c r="D9" s="93" t="str">
        <f>IFERROR(I27-K27,"")</f>
        <v/>
      </c>
      <c r="E9" s="102" t="s">
        <v>278</v>
      </c>
      <c r="F9" s="99" t="s">
        <v>121</v>
      </c>
      <c r="G9" s="81"/>
      <c r="H9" s="6"/>
      <c r="I9" s="6"/>
      <c r="J9" s="6"/>
      <c r="K9" s="6"/>
    </row>
    <row r="10" spans="1:11" ht="15" customHeight="1" thickBot="1">
      <c r="A10" s="84">
        <v>5</v>
      </c>
      <c r="B10" s="85"/>
      <c r="C10" s="86" t="s">
        <v>405</v>
      </c>
      <c r="D10" s="93" t="str">
        <f>IFERROR(I28-K28,"")</f>
        <v/>
      </c>
      <c r="E10" s="104" t="s">
        <v>281</v>
      </c>
      <c r="F10" s="100"/>
      <c r="G10" s="82"/>
      <c r="H10" s="6"/>
      <c r="I10" s="6"/>
      <c r="J10" s="6"/>
      <c r="K10" s="6"/>
    </row>
    <row r="11" spans="1:11" ht="15" customHeight="1" thickBot="1">
      <c r="A11" s="137"/>
      <c r="B11" s="138"/>
      <c r="C11" s="138"/>
      <c r="D11" s="138"/>
      <c r="E11" s="138"/>
      <c r="F11" s="138"/>
      <c r="G11" s="139"/>
    </row>
    <row r="12" spans="1:11" ht="15" customHeight="1">
      <c r="A12" s="88" t="s">
        <v>66</v>
      </c>
      <c r="B12" s="75" t="s">
        <v>50</v>
      </c>
      <c r="C12" s="75" t="s">
        <v>51</v>
      </c>
      <c r="D12" s="127" t="s">
        <v>117</v>
      </c>
      <c r="E12" s="129" t="s">
        <v>119</v>
      </c>
      <c r="F12" s="131" t="s">
        <v>279</v>
      </c>
      <c r="G12" s="132"/>
    </row>
    <row r="13" spans="1:11" ht="15" customHeight="1">
      <c r="A13" s="83" t="s">
        <v>67</v>
      </c>
      <c r="B13" s="29" t="s">
        <v>406</v>
      </c>
      <c r="C13" s="29"/>
      <c r="D13" s="128"/>
      <c r="E13" s="130"/>
      <c r="F13" s="133"/>
      <c r="G13" s="134"/>
    </row>
    <row r="14" spans="1:11" ht="15" customHeight="1" thickBot="1">
      <c r="A14" s="84" t="s">
        <v>40</v>
      </c>
      <c r="B14" s="89"/>
      <c r="C14" s="89"/>
      <c r="D14" s="90">
        <f>IFERROR(L34,"")</f>
        <v>0</v>
      </c>
      <c r="E14" s="87">
        <f>IFERROR(L36,"")</f>
        <v>0</v>
      </c>
      <c r="F14" s="135"/>
      <c r="G14" s="136"/>
    </row>
    <row r="15" spans="1:11">
      <c r="E15" s="6"/>
      <c r="F15" s="6"/>
      <c r="H15" s="123" t="s">
        <v>107</v>
      </c>
      <c r="I15" s="123"/>
      <c r="J15" s="123"/>
    </row>
    <row r="16" spans="1:11">
      <c r="H16" s="27" t="s">
        <v>108</v>
      </c>
      <c r="I16" s="27" t="s">
        <v>109</v>
      </c>
      <c r="J16" s="27" t="s">
        <v>110</v>
      </c>
    </row>
    <row r="17" spans="3:15">
      <c r="H17" s="10"/>
      <c r="I17" s="10"/>
      <c r="J17" s="10"/>
    </row>
    <row r="18" spans="3:15">
      <c r="C18" s="47"/>
      <c r="D18" s="12"/>
    </row>
    <row r="19" spans="3:15">
      <c r="H19" s="124" t="s">
        <v>68</v>
      </c>
      <c r="I19" s="125"/>
      <c r="J19" s="125"/>
      <c r="K19" s="125"/>
      <c r="L19" s="126"/>
      <c r="N19" s="11"/>
      <c r="O19" s="12"/>
    </row>
    <row r="20" spans="3:15">
      <c r="C20" s="11"/>
      <c r="H20" s="10"/>
      <c r="I20" s="10" t="s">
        <v>111</v>
      </c>
      <c r="J20" s="10" t="s">
        <v>112</v>
      </c>
      <c r="K20" s="10" t="s">
        <v>113</v>
      </c>
      <c r="L20" s="10" t="s">
        <v>114</v>
      </c>
      <c r="N20" s="11"/>
      <c r="O20" s="12"/>
    </row>
    <row r="21" spans="3:15">
      <c r="H21" s="10" t="s">
        <v>70</v>
      </c>
      <c r="I21" s="10">
        <f>IF(type1="D",0,1)*IFERROR(IF(manPhone&gt;0,manPhone,VLOOKUP(model1,phonetable,3,FALSE)),0)</f>
        <v>0</v>
      </c>
      <c r="J21" s="10"/>
      <c r="K21" s="10">
        <f>manualTab</f>
        <v>0</v>
      </c>
      <c r="L21" s="31">
        <f>IF(type1="R",-1,1)*IF(productType="Unlock",manPhone,IFERROR(I21-J21-K21,0))</f>
        <v>0</v>
      </c>
      <c r="N21" s="11"/>
      <c r="O21" s="12"/>
    </row>
    <row r="22" spans="3:15">
      <c r="H22" s="10" t="s">
        <v>120</v>
      </c>
      <c r="I22" s="143"/>
      <c r="J22" s="144"/>
      <c r="K22" s="145"/>
      <c r="L22" s="31">
        <f>G7</f>
        <v>0</v>
      </c>
      <c r="N22" s="11"/>
      <c r="O22" s="12"/>
    </row>
    <row r="23" spans="3:15">
      <c r="E23" s="11"/>
      <c r="H23" s="10" t="s">
        <v>121</v>
      </c>
      <c r="I23" s="146"/>
      <c r="J23" s="147"/>
      <c r="K23" s="148"/>
      <c r="L23" s="31">
        <f>G9</f>
        <v>0</v>
      </c>
    </row>
    <row r="24" spans="3:15">
      <c r="H24" s="10" t="s">
        <v>69</v>
      </c>
      <c r="I24" s="10" t="e">
        <f>VLOOKUP(item1,accList,3,0)</f>
        <v>#N/A</v>
      </c>
      <c r="J24" s="30">
        <f>VLOOKUP(discount1,disRate,2,0)</f>
        <v>0</v>
      </c>
      <c r="K24" s="10" t="e">
        <f>I24*J24</f>
        <v>#N/A</v>
      </c>
      <c r="L24" s="31" t="str">
        <f>D6</f>
        <v/>
      </c>
      <c r="M24" s="95"/>
    </row>
    <row r="25" spans="3:15">
      <c r="H25" s="10" t="s">
        <v>71</v>
      </c>
      <c r="I25" s="10" t="e">
        <f>VLOOKUP(item2,accList,3,0)</f>
        <v>#N/A</v>
      </c>
      <c r="J25" s="30">
        <f>VLOOKUP(discount2,disRate,2,0)</f>
        <v>0</v>
      </c>
      <c r="K25" s="10" t="e">
        <f t="shared" ref="K25:K28" si="0">I25*J25</f>
        <v>#N/A</v>
      </c>
      <c r="L25" s="31" t="str">
        <f t="shared" ref="L25:L28" si="1">D7</f>
        <v/>
      </c>
      <c r="M25" s="95"/>
    </row>
    <row r="26" spans="3:15">
      <c r="H26" s="10" t="s">
        <v>72</v>
      </c>
      <c r="I26" s="10" t="e">
        <f>VLOOKUP(item3,accList,3,0)</f>
        <v>#N/A</v>
      </c>
      <c r="J26" s="30">
        <f>VLOOKUP(discount3,disRate,2,0)</f>
        <v>0</v>
      </c>
      <c r="K26" s="31" t="e">
        <f t="shared" si="0"/>
        <v>#N/A</v>
      </c>
      <c r="L26" s="31" t="str">
        <f t="shared" si="1"/>
        <v/>
      </c>
      <c r="M26" s="95"/>
    </row>
    <row r="27" spans="3:15">
      <c r="H27" s="10" t="s">
        <v>73</v>
      </c>
      <c r="I27" s="10" t="e">
        <f>VLOOKUP(item4,accList,3,0)</f>
        <v>#N/A</v>
      </c>
      <c r="J27" s="30">
        <f>VLOOKUP(discount4,disRate,2,0)</f>
        <v>0</v>
      </c>
      <c r="K27" s="10" t="e">
        <f t="shared" si="0"/>
        <v>#N/A</v>
      </c>
      <c r="L27" s="31" t="str">
        <f t="shared" si="1"/>
        <v/>
      </c>
      <c r="M27" s="95"/>
    </row>
    <row r="28" spans="3:15">
      <c r="H28" s="10" t="s">
        <v>74</v>
      </c>
      <c r="I28" s="10" t="e">
        <f>VLOOKUP(item5,accList,3,0)</f>
        <v>#N/A</v>
      </c>
      <c r="J28" s="30">
        <f>VLOOKUP(discount5,disRate,2,0)</f>
        <v>0</v>
      </c>
      <c r="K28" s="10" t="e">
        <f t="shared" si="0"/>
        <v>#N/A</v>
      </c>
      <c r="L28" s="31" t="str">
        <f t="shared" si="1"/>
        <v/>
      </c>
      <c r="M28" s="95"/>
    </row>
    <row r="29" spans="3:15">
      <c r="H29" s="10" t="s">
        <v>122</v>
      </c>
      <c r="I29" s="32"/>
      <c r="J29" s="33"/>
      <c r="K29" s="34"/>
      <c r="L29" s="31">
        <f>-1*manualdiscount</f>
        <v>0</v>
      </c>
    </row>
    <row r="30" spans="3:15">
      <c r="H30" s="10" t="s">
        <v>115</v>
      </c>
      <c r="I30" s="114"/>
      <c r="J30" s="115"/>
      <c r="K30" s="116"/>
      <c r="L30" s="31">
        <f>IF(AND(pmethod&lt;&gt;"Cash",pmethod2=""),L34,B14)</f>
        <v>0</v>
      </c>
    </row>
    <row r="31" spans="3:15">
      <c r="H31" s="10" t="s">
        <v>116</v>
      </c>
      <c r="I31" s="117"/>
      <c r="J31" s="118"/>
      <c r="K31" s="119"/>
      <c r="L31" s="31">
        <f>C14</f>
        <v>0</v>
      </c>
    </row>
    <row r="32" spans="3:15">
      <c r="H32" s="10" t="s">
        <v>126</v>
      </c>
      <c r="I32" s="117"/>
      <c r="J32" s="118"/>
      <c r="K32" s="119"/>
      <c r="L32" s="31">
        <f>SUM(L21:L28)+L29</f>
        <v>0</v>
      </c>
    </row>
    <row r="33" spans="8:12">
      <c r="H33" s="10" t="s">
        <v>127</v>
      </c>
      <c r="I33" s="117"/>
      <c r="J33" s="118"/>
      <c r="K33" s="119"/>
      <c r="L33" s="31">
        <f>L32*0.13</f>
        <v>0</v>
      </c>
    </row>
    <row r="34" spans="8:12">
      <c r="H34" s="10" t="s">
        <v>117</v>
      </c>
      <c r="I34" s="117"/>
      <c r="J34" s="118"/>
      <c r="K34" s="119"/>
      <c r="L34" s="31">
        <f>SUM(L32:L33)</f>
        <v>0</v>
      </c>
    </row>
    <row r="35" spans="8:12">
      <c r="H35" s="10" t="s">
        <v>118</v>
      </c>
      <c r="I35" s="120"/>
      <c r="J35" s="121"/>
      <c r="K35" s="122"/>
      <c r="L35" s="31">
        <f>IF(type1="R",-1,1)*SUM(L30:L31)</f>
        <v>0</v>
      </c>
    </row>
    <row r="36" spans="8:12">
      <c r="H36" s="10" t="s">
        <v>119</v>
      </c>
      <c r="I36" s="10"/>
      <c r="J36" s="10"/>
      <c r="K36" s="10"/>
      <c r="L36" s="31">
        <f>L35-L34</f>
        <v>0</v>
      </c>
    </row>
    <row r="38" spans="8:12">
      <c r="H38" s="5" t="s">
        <v>298</v>
      </c>
    </row>
    <row r="39" spans="8:12">
      <c r="H39" s="5" t="e">
        <f>VLOOKUP(Input!$A$1,addresses,6,0)</f>
        <v>#N/A</v>
      </c>
      <c r="I39" s="105">
        <f ca="1">NOW()*100000</f>
        <v>4226742854.4328699</v>
      </c>
    </row>
    <row r="45" spans="8:12">
      <c r="I45" s="106">
        <f>4206096267/100000</f>
        <v>42060.962670000001</v>
      </c>
    </row>
  </sheetData>
  <mergeCells count="12">
    <mergeCell ref="A3:G3"/>
    <mergeCell ref="F4:G4"/>
    <mergeCell ref="A5:B5"/>
    <mergeCell ref="I22:K23"/>
    <mergeCell ref="A4:D4"/>
    <mergeCell ref="A11:G11"/>
    <mergeCell ref="I30:K35"/>
    <mergeCell ref="H15:J15"/>
    <mergeCell ref="H19:L19"/>
    <mergeCell ref="D12:D13"/>
    <mergeCell ref="E12:E13"/>
    <mergeCell ref="F12:G14"/>
  </mergeCells>
  <phoneticPr fontId="1" type="noConversion"/>
  <conditionalFormatting sqref="C18">
    <cfRule type="colorScale" priority="2">
      <colorScale>
        <cfvo type="num" val="0"/>
        <cfvo type="num" val="50"/>
        <cfvo type="num" val="100"/>
        <color rgb="FFF8696B"/>
        <color rgb="FFFFEB84"/>
        <color rgb="FF63BE7B"/>
      </colorScale>
    </cfRule>
    <cfRule type="colorScale" priority="3">
      <colorScale>
        <cfvo type="num" val="0"/>
        <cfvo type="percentile" val="50"/>
        <cfvo type="num" val="100"/>
        <color rgb="FFF8696B"/>
        <color rgb="FFFFEB84"/>
        <color rgb="FF63BE7B"/>
      </colorScale>
    </cfRule>
  </conditionalFormatting>
  <dataValidations count="8">
    <dataValidation type="list" allowBlank="1" showInputMessage="1" showErrorMessage="1" sqref="B13">
      <formula1>"Cash,Debit,Visa,Master,Koodo Credit"</formula1>
    </dataValidation>
    <dataValidation type="list" allowBlank="1" showInputMessage="1" showErrorMessage="1" sqref="C13">
      <formula1>"Debit,Master,Visa,Trade-In Credit"</formula1>
    </dataValidation>
    <dataValidation type="list" allowBlank="1" showInputMessage="1" showErrorMessage="1" sqref="A1">
      <formula1>"Location,Sheridan,Yonge,Woodside,Trethewey"</formula1>
    </dataValidation>
    <dataValidation type="list" allowBlank="1" showInputMessage="1" showErrorMessage="1" sqref="B6:B10">
      <formula1>accName</formula1>
    </dataValidation>
    <dataValidation type="list" allowBlank="1" showInputMessage="1" showErrorMessage="1" sqref="C6:C10">
      <formula1>dlist</formula1>
    </dataValidation>
    <dataValidation allowBlank="1" showErrorMessage="1" sqref="G2"/>
    <dataValidation type="list" allowBlank="1" showInputMessage="1" showErrorMessage="1" sqref="A2">
      <formula1>"Phone,Unlock"</formula1>
    </dataValidation>
    <dataValidation operator="greaterThan" allowBlank="1" showInputMessage="1" showErrorMessage="1" sqref="G5:G10"/>
  </dataValidations>
  <pageMargins left="0.7" right="0.7" top="0.75" bottom="0.75" header="0.3" footer="0.3"/>
  <pageSetup orientation="portrait" horizontalDpi="203" verticalDpi="203" r:id="rId1"/>
</worksheet>
</file>

<file path=xl/worksheets/sheet2.xml><?xml version="1.0" encoding="utf-8"?>
<worksheet xmlns="http://schemas.openxmlformats.org/spreadsheetml/2006/main" xmlns:r="http://schemas.openxmlformats.org/officeDocument/2006/relationships">
  <sheetPr codeName="Sheet2">
    <tabColor rgb="FF92D050"/>
    <pageSetUpPr fitToPage="1"/>
  </sheetPr>
  <dimension ref="A1:H80"/>
  <sheetViews>
    <sheetView showGridLines="0" view="pageBreakPreview" topLeftCell="A56" zoomScaleSheetLayoutView="100" workbookViewId="0">
      <selection activeCell="A70" sqref="A70:E70"/>
    </sheetView>
  </sheetViews>
  <sheetFormatPr defaultColWidth="9" defaultRowHeight="15" customHeight="1"/>
  <cols>
    <col min="1" max="1" width="2.28515625" style="2" customWidth="1"/>
    <col min="2" max="2" width="11" style="2" customWidth="1"/>
    <col min="3" max="3" width="11.140625" style="3" customWidth="1"/>
    <col min="4" max="4" width="8.42578125" style="2" customWidth="1"/>
    <col min="5" max="5" width="9.42578125" style="2" bestFit="1" customWidth="1"/>
    <col min="6" max="16384" width="9" style="2"/>
  </cols>
  <sheetData>
    <row r="1" spans="1:5" ht="56.25" customHeight="1">
      <c r="A1" s="173"/>
      <c r="B1" s="173"/>
      <c r="C1" s="173"/>
      <c r="D1" s="173"/>
      <c r="E1" s="173"/>
    </row>
    <row r="2" spans="1:5" ht="12.95" customHeight="1">
      <c r="A2" s="164" t="e">
        <f>VLOOKUP(Input!$A$1,addresses,2,0)</f>
        <v>#N/A</v>
      </c>
      <c r="B2" s="164"/>
      <c r="C2" s="164"/>
      <c r="D2" s="164"/>
      <c r="E2" s="164"/>
    </row>
    <row r="3" spans="1:5" ht="12.95" customHeight="1">
      <c r="A3" s="164" t="e">
        <f>VLOOKUP(Input!$A$1,addresses,3,0)&amp;" "&amp;VLOOKUP(Input!$A$1,addresses,4,0)</f>
        <v>#N/A</v>
      </c>
      <c r="B3" s="164"/>
      <c r="C3" s="164"/>
      <c r="D3" s="164"/>
      <c r="E3" s="164"/>
    </row>
    <row r="4" spans="1:5" ht="12.95" customHeight="1">
      <c r="A4" s="164" t="e">
        <f>VLOOKUP(Input!$A$1,addresses,5,0)</f>
        <v>#N/A</v>
      </c>
      <c r="B4" s="164"/>
      <c r="C4" s="164"/>
      <c r="D4" s="164"/>
      <c r="E4" s="164"/>
    </row>
    <row r="5" spans="1:5" ht="15" customHeight="1">
      <c r="A5" s="174" t="e">
        <f ca="1">"Transaction ID " &amp;Input!H39&amp;ROUND(Input!I39,0)</f>
        <v>#N/A</v>
      </c>
      <c r="B5" s="174"/>
      <c r="C5" s="174"/>
      <c r="D5" s="174"/>
      <c r="E5" s="174"/>
    </row>
    <row r="6" spans="1:5" ht="9.9499999999999993" customHeight="1">
      <c r="A6" s="153"/>
      <c r="B6" s="153"/>
      <c r="C6" s="153"/>
      <c r="D6" s="153"/>
      <c r="E6" s="153"/>
    </row>
    <row r="7" spans="1:5" ht="15" customHeight="1">
      <c r="A7" s="156" t="b">
        <f>IFERROR(IF(productType="Unlock","Phone Unlocking Service",(IF(Input!B2="U","(U) ","")&amp;VLOOKUP(model1,phonetable,2,FALSE))),IF(Input!B2="U","(U) "&amp;Input!F2))</f>
        <v>0</v>
      </c>
      <c r="B7" s="156"/>
      <c r="C7" s="156"/>
      <c r="D7" s="156"/>
      <c r="E7" s="156"/>
    </row>
    <row r="8" spans="1:5" ht="12.95" customHeight="1">
      <c r="A8" s="13"/>
      <c r="B8" s="97" t="s">
        <v>290</v>
      </c>
      <c r="C8" s="150" t="str">
        <f>IF(phoneNum1="","",phoneNum1)</f>
        <v/>
      </c>
      <c r="D8" s="150"/>
      <c r="E8" s="37"/>
    </row>
    <row r="9" spans="1:5" ht="12.95" customHeight="1">
      <c r="A9" s="13"/>
      <c r="B9" s="97" t="s">
        <v>291</v>
      </c>
      <c r="C9" s="157" t="str">
        <f>IF(model1="OP","OWN PHONE",IF(meid1="","",meid1))</f>
        <v/>
      </c>
      <c r="D9" s="157"/>
      <c r="E9" s="15"/>
    </row>
    <row r="10" spans="1:5" ht="12.95" customHeight="1">
      <c r="A10" s="13"/>
      <c r="B10" s="97" t="str">
        <f>IF(productType="Unlock","Carrier :","SIM :")</f>
        <v>SIM :</v>
      </c>
      <c r="C10" s="157" t="str">
        <f>IF(Input!A2="Unlock",Input!B2,IF(simNum1="","",simNum1))</f>
        <v/>
      </c>
      <c r="D10" s="157"/>
      <c r="E10" s="36" t="str">
        <f>IF(manSim=0,"",manSim)</f>
        <v/>
      </c>
    </row>
    <row r="11" spans="1:5" ht="12.95" customHeight="1">
      <c r="A11" s="13"/>
      <c r="B11" s="158" t="str">
        <f>IF(E11=0,"",IF(productType="Unlock","Unlock Fee","Handset Price"))</f>
        <v/>
      </c>
      <c r="C11" s="158"/>
      <c r="D11" s="16"/>
      <c r="E11" s="94">
        <f>IFERROR(IF(productType="Unlock",manPhone,IF(manPhone&gt;0,manPhone,Input!I21)),"")</f>
        <v>0</v>
      </c>
    </row>
    <row r="12" spans="1:5" ht="12.95" customHeight="1">
      <c r="A12" s="14"/>
      <c r="B12" s="159" t="str">
        <f>IF(manualTab&gt;0,"Tab Discount","")</f>
        <v/>
      </c>
      <c r="C12" s="159"/>
      <c r="D12" s="159"/>
      <c r="E12" s="36" t="str">
        <f>IF(Input!K21=0,"",-1*Input!K21)</f>
        <v/>
      </c>
    </row>
    <row r="13" spans="1:5" ht="12.95" customHeight="1">
      <c r="A13" s="13"/>
      <c r="B13" s="163" t="str">
        <f>IF(Input!B2="U","(Refurbished Handset)",IF(activationFee=0,"","Service Fee"))</f>
        <v/>
      </c>
      <c r="C13" s="163"/>
      <c r="D13" s="163"/>
      <c r="E13" s="35" t="str">
        <f>IF(activationFee=0,"",activationFee)</f>
        <v/>
      </c>
    </row>
    <row r="14" spans="1:5" ht="12.95" customHeight="1">
      <c r="A14" s="45"/>
      <c r="B14" s="42" t="str">
        <f>IF(type1="R","Remorese Return",IF(type1="D","D.O.A",""))</f>
        <v/>
      </c>
      <c r="C14" s="43"/>
      <c r="D14" s="43"/>
      <c r="E14" s="44"/>
    </row>
    <row r="15" spans="1:5" ht="12.95" customHeight="1">
      <c r="A15" s="156" t="str">
        <f>IF(item1="Credit","Credit Balance Receipt","Accessory")</f>
        <v>Accessory</v>
      </c>
      <c r="B15" s="156"/>
      <c r="C15" s="156"/>
      <c r="D15" s="156"/>
      <c r="E15" s="156"/>
    </row>
    <row r="16" spans="1:5" ht="12.95" customHeight="1">
      <c r="A16" s="13"/>
      <c r="B16" s="160" t="str">
        <f>IFERROR(VLOOKUP(item1,accList,2,0),"")</f>
        <v/>
      </c>
      <c r="C16" s="160"/>
      <c r="D16" s="96" t="str">
        <f>IF(discount1="No discount","","("&amp;discount1&amp;")")</f>
        <v/>
      </c>
      <c r="E16" s="35" t="str">
        <f>IF(item1="credit",manualdiscount,IF(Input!L24=0,"",Input!L24))</f>
        <v/>
      </c>
    </row>
    <row r="17" spans="1:8" ht="12.95" customHeight="1">
      <c r="A17" s="19"/>
      <c r="B17" s="160" t="str">
        <f>IFERROR(VLOOKUP(item2,accList,2,0),"")</f>
        <v/>
      </c>
      <c r="C17" s="160"/>
      <c r="D17" s="96" t="str">
        <f>IF(discount2="No discount","","("&amp;discount2&amp;")")</f>
        <v/>
      </c>
      <c r="E17" s="35" t="str">
        <f>IF(Input!L25=0,"",Input!L25)</f>
        <v/>
      </c>
    </row>
    <row r="18" spans="1:8" ht="12.95" customHeight="1">
      <c r="A18" s="19"/>
      <c r="B18" s="160" t="str">
        <f>IFERROR(VLOOKUP(item3,accList,2,0),"")</f>
        <v/>
      </c>
      <c r="C18" s="160"/>
      <c r="D18" s="96" t="str">
        <f>IF(discount3="No discount","","("&amp;discount3&amp;")")</f>
        <v/>
      </c>
      <c r="E18" s="35" t="str">
        <f>IF(Input!L26=0,"",Input!L26)</f>
        <v/>
      </c>
    </row>
    <row r="19" spans="1:8" ht="12.95" customHeight="1">
      <c r="A19" s="19"/>
      <c r="B19" s="160" t="str">
        <f>IFERROR(VLOOKUP(item4,accList,2,0),"")</f>
        <v/>
      </c>
      <c r="C19" s="160"/>
      <c r="D19" s="96" t="str">
        <f>IF(discount4="No discount","","("&amp;discount4&amp;")")</f>
        <v/>
      </c>
      <c r="E19" s="35" t="str">
        <f>IF(Input!L27=0,"",Input!L27)</f>
        <v/>
      </c>
    </row>
    <row r="20" spans="1:8" ht="12.95" customHeight="1">
      <c r="A20" s="19"/>
      <c r="B20" s="160" t="str">
        <f>IFERROR(VLOOKUP(item5,accList,2,0),"")</f>
        <v/>
      </c>
      <c r="C20" s="160"/>
      <c r="D20" s="96" t="str">
        <f>IF(discount5="No discount","","("&amp;discount5&amp;")")</f>
        <v/>
      </c>
      <c r="E20" s="35" t="str">
        <f>IF(Input!L28=0,"",Input!L28)</f>
        <v/>
      </c>
    </row>
    <row r="21" spans="1:8" ht="12.95" customHeight="1">
      <c r="A21" s="151"/>
      <c r="B21" s="151"/>
      <c r="C21" s="151"/>
      <c r="D21" s="151"/>
      <c r="E21" s="151"/>
    </row>
    <row r="22" spans="1:8" ht="12.95" customHeight="1">
      <c r="A22" s="13"/>
      <c r="B22" s="18"/>
      <c r="C22" s="152" t="s">
        <v>125</v>
      </c>
      <c r="D22" s="152"/>
      <c r="E22" s="35">
        <f>Input!L32</f>
        <v>0</v>
      </c>
    </row>
    <row r="23" spans="1:8" ht="12.95" customHeight="1">
      <c r="A23" s="15"/>
      <c r="B23" s="15"/>
      <c r="C23" s="162" t="s">
        <v>124</v>
      </c>
      <c r="D23" s="162"/>
      <c r="E23" s="35">
        <f>Input!L33</f>
        <v>0</v>
      </c>
    </row>
    <row r="24" spans="1:8" ht="12.95" customHeight="1">
      <c r="A24" s="13"/>
      <c r="B24" s="18"/>
      <c r="C24" s="161" t="str">
        <f>IF(manualdiscount=0,"","Special Discount")</f>
        <v/>
      </c>
      <c r="D24" s="161"/>
      <c r="E24" s="41" t="str">
        <f>IF(manualdiscount=0,"",-1*manualdiscount)</f>
        <v/>
      </c>
    </row>
    <row r="25" spans="1:8" ht="12.95" customHeight="1">
      <c r="A25" s="15"/>
      <c r="B25" s="15"/>
      <c r="C25" s="158" t="s">
        <v>117</v>
      </c>
      <c r="D25" s="158"/>
      <c r="E25" s="35">
        <f>Input!L34</f>
        <v>0</v>
      </c>
    </row>
    <row r="26" spans="1:8" ht="12.95" customHeight="1">
      <c r="A26" s="15"/>
      <c r="B26" s="17"/>
      <c r="C26" s="16"/>
      <c r="D26" s="7"/>
      <c r="E26" s="35"/>
    </row>
    <row r="27" spans="1:8" ht="12.95" customHeight="1">
      <c r="A27" s="15"/>
      <c r="B27" s="17"/>
      <c r="C27" s="46" t="str">
        <f>IF(type1="R","Refund","Payment")</f>
        <v>Payment</v>
      </c>
      <c r="D27" s="7"/>
      <c r="E27" s="35"/>
    </row>
    <row r="28" spans="1:8" ht="12.95" customHeight="1">
      <c r="A28" s="15"/>
      <c r="B28" s="17"/>
      <c r="C28" s="111" t="str">
        <f>pmethod</f>
        <v>Cash</v>
      </c>
      <c r="D28" s="7"/>
      <c r="E28" s="35">
        <f>Input!L30</f>
        <v>0</v>
      </c>
    </row>
    <row r="29" spans="1:8" ht="12.95" customHeight="1" thickBot="1">
      <c r="A29" s="15"/>
      <c r="B29" s="17"/>
      <c r="C29" s="38" t="str">
        <f>IF(pmethod2&lt;&gt;"",pmethod2,"")</f>
        <v/>
      </c>
      <c r="D29" s="39"/>
      <c r="E29" s="40" t="str">
        <f>IF(Input!C14=0,"",Input!C14)</f>
        <v/>
      </c>
    </row>
    <row r="30" spans="1:8" ht="12.95" customHeight="1" thickTop="1">
      <c r="A30" s="15"/>
      <c r="B30" s="17"/>
      <c r="C30" s="46" t="str">
        <f>IF(E30=0,"","Change")</f>
        <v/>
      </c>
      <c r="D30" s="7"/>
      <c r="E30" s="35">
        <f>Input!L36</f>
        <v>0</v>
      </c>
      <c r="H30" s="107"/>
    </row>
    <row r="31" spans="1:8" ht="8.1" customHeight="1">
      <c r="A31" s="154"/>
      <c r="B31" s="155"/>
      <c r="C31" s="155"/>
      <c r="D31" s="155"/>
      <c r="E31" s="155"/>
      <c r="F31" s="110"/>
    </row>
    <row r="32" spans="1:8" ht="11.1" customHeight="1">
      <c r="A32" s="1"/>
      <c r="B32" s="168" t="s">
        <v>75</v>
      </c>
      <c r="C32" s="168"/>
      <c r="D32" s="170">
        <f ca="1">IF(manualdate&lt;&gt;"",manualdate,NOW())</f>
        <v>42267.428544328701</v>
      </c>
      <c r="E32" s="170"/>
    </row>
    <row r="33" spans="1:5" ht="8.25" customHeight="1">
      <c r="A33" s="171" t="s">
        <v>56</v>
      </c>
      <c r="B33" s="171"/>
      <c r="C33" s="171"/>
      <c r="D33" s="171"/>
      <c r="E33" s="171"/>
    </row>
    <row r="34" spans="1:5" ht="43.5" customHeight="1">
      <c r="A34" s="165" t="s">
        <v>439</v>
      </c>
      <c r="B34" s="165"/>
      <c r="C34" s="165"/>
      <c r="D34" s="165"/>
      <c r="E34" s="165"/>
    </row>
    <row r="35" spans="1:5" ht="132" customHeight="1">
      <c r="A35" s="165" t="s">
        <v>128</v>
      </c>
      <c r="B35" s="165"/>
      <c r="C35" s="165"/>
      <c r="D35" s="165"/>
      <c r="E35" s="165"/>
    </row>
    <row r="36" spans="1:5" ht="69" customHeight="1">
      <c r="A36" s="165" t="s">
        <v>440</v>
      </c>
      <c r="B36" s="165"/>
      <c r="C36" s="165"/>
      <c r="D36" s="165"/>
      <c r="E36" s="165"/>
    </row>
    <row r="37" spans="1:5" ht="299.25" customHeight="1">
      <c r="A37" s="172" t="s">
        <v>441</v>
      </c>
      <c r="B37" s="172"/>
      <c r="C37" s="172"/>
      <c r="D37" s="172"/>
      <c r="E37" s="172"/>
    </row>
    <row r="38" spans="1:5" ht="9.9499999999999993" customHeight="1">
      <c r="A38" s="166" t="s">
        <v>54</v>
      </c>
      <c r="B38" s="167"/>
      <c r="C38" s="167"/>
      <c r="D38" s="167"/>
      <c r="E38" s="167"/>
    </row>
    <row r="39" spans="1:5" s="4" customFormat="1" ht="9.9499999999999993" customHeight="1">
      <c r="A39" s="166" t="s">
        <v>104</v>
      </c>
      <c r="B39" s="167"/>
      <c r="C39" s="167"/>
      <c r="D39" s="167"/>
      <c r="E39" s="167"/>
    </row>
    <row r="40" spans="1:5" ht="9.9499999999999993" customHeight="1">
      <c r="A40" s="168" t="s">
        <v>105</v>
      </c>
      <c r="B40" s="169"/>
      <c r="C40" s="169"/>
      <c r="D40" s="169"/>
      <c r="E40" s="169"/>
    </row>
    <row r="41" spans="1:5" ht="6" customHeight="1">
      <c r="A41" s="164" t="s">
        <v>55</v>
      </c>
      <c r="B41" s="164"/>
      <c r="C41" s="164"/>
      <c r="D41" s="164"/>
      <c r="E41" s="164"/>
    </row>
    <row r="42" spans="1:5" ht="6" customHeight="1" thickBot="1">
      <c r="A42" s="52"/>
      <c r="B42" s="52"/>
      <c r="C42" s="52"/>
      <c r="D42" s="52"/>
      <c r="E42" s="52"/>
    </row>
    <row r="43" spans="1:5" ht="15" customHeight="1" thickBot="1">
      <c r="A43" s="177" t="s">
        <v>259</v>
      </c>
      <c r="B43" s="178"/>
      <c r="C43" s="178"/>
      <c r="D43" s="178"/>
      <c r="E43" s="179"/>
    </row>
    <row r="44" spans="1:5" ht="15" customHeight="1">
      <c r="A44" s="55"/>
      <c r="B44" s="57"/>
      <c r="C44" s="53"/>
      <c r="D44" s="15"/>
      <c r="E44" s="60"/>
    </row>
    <row r="45" spans="1:5" ht="15" customHeight="1">
      <c r="A45" s="175" t="s">
        <v>260</v>
      </c>
      <c r="B45" s="176"/>
      <c r="C45" s="58" t="s">
        <v>102</v>
      </c>
      <c r="D45" s="59"/>
      <c r="E45" s="61"/>
    </row>
    <row r="46" spans="1:5" ht="15" customHeight="1">
      <c r="A46" s="55"/>
      <c r="B46" s="57"/>
      <c r="C46" s="53"/>
      <c r="D46" s="15"/>
      <c r="E46" s="60"/>
    </row>
    <row r="47" spans="1:5" ht="15" customHeight="1">
      <c r="A47" s="175" t="s">
        <v>261</v>
      </c>
      <c r="B47" s="176"/>
      <c r="C47" s="58"/>
      <c r="D47" s="59"/>
      <c r="E47" s="61"/>
    </row>
    <row r="48" spans="1:5" ht="15" customHeight="1" thickBot="1">
      <c r="A48" s="55"/>
      <c r="B48" s="57"/>
      <c r="C48" s="53"/>
      <c r="D48" s="15"/>
      <c r="E48" s="60"/>
    </row>
    <row r="49" spans="1:5" ht="15" customHeight="1" thickBot="1">
      <c r="A49" s="177" t="s">
        <v>262</v>
      </c>
      <c r="B49" s="178"/>
      <c r="C49" s="178"/>
      <c r="D49" s="178"/>
      <c r="E49" s="179"/>
    </row>
    <row r="50" spans="1:5" ht="15" customHeight="1">
      <c r="A50" s="66"/>
      <c r="B50" s="67"/>
      <c r="C50" s="68"/>
      <c r="D50" s="69"/>
      <c r="E50" s="70"/>
    </row>
    <row r="51" spans="1:5" ht="15" customHeight="1">
      <c r="A51" s="175" t="s">
        <v>273</v>
      </c>
      <c r="B51" s="176"/>
      <c r="C51" s="58"/>
      <c r="D51" s="59"/>
      <c r="E51" s="61"/>
    </row>
    <row r="52" spans="1:5" ht="15" customHeight="1">
      <c r="A52" s="55"/>
      <c r="B52" s="57"/>
      <c r="C52" s="73"/>
      <c r="D52" s="15"/>
      <c r="E52" s="60"/>
    </row>
    <row r="53" spans="1:5" ht="15" customHeight="1">
      <c r="A53" s="175" t="s">
        <v>274</v>
      </c>
      <c r="B53" s="176"/>
      <c r="C53" s="58"/>
      <c r="D53" s="59"/>
      <c r="E53" s="61"/>
    </row>
    <row r="54" spans="1:5" ht="15" customHeight="1">
      <c r="A54" s="55"/>
      <c r="B54" s="57"/>
      <c r="C54" s="73"/>
      <c r="D54" s="15"/>
      <c r="E54" s="60"/>
    </row>
    <row r="55" spans="1:5" ht="15" customHeight="1">
      <c r="A55" s="55"/>
      <c r="B55" s="57"/>
      <c r="C55" s="58"/>
      <c r="D55" s="59"/>
      <c r="E55" s="61"/>
    </row>
    <row r="56" spans="1:5" ht="15" customHeight="1" thickBot="1">
      <c r="A56" s="71"/>
      <c r="B56" s="62"/>
      <c r="C56" s="63"/>
      <c r="D56" s="64"/>
      <c r="E56" s="65"/>
    </row>
    <row r="57" spans="1:5" ht="15" customHeight="1">
      <c r="A57" s="175" t="s">
        <v>272</v>
      </c>
      <c r="B57" s="176"/>
      <c r="C57" s="58"/>
      <c r="D57" s="59"/>
      <c r="E57" s="61"/>
    </row>
    <row r="58" spans="1:5" ht="15" customHeight="1">
      <c r="A58" s="55"/>
      <c r="B58" s="57"/>
      <c r="C58" s="54"/>
      <c r="D58" s="15"/>
      <c r="E58" s="60"/>
    </row>
    <row r="59" spans="1:5" ht="15" customHeight="1">
      <c r="A59" s="175" t="s">
        <v>271</v>
      </c>
      <c r="B59" s="176"/>
      <c r="C59" s="58"/>
      <c r="D59" s="59"/>
      <c r="E59" s="61"/>
    </row>
    <row r="60" spans="1:5" ht="15" customHeight="1">
      <c r="A60" s="55"/>
      <c r="B60" s="57"/>
      <c r="C60" s="54"/>
      <c r="D60" s="15"/>
      <c r="E60" s="60"/>
    </row>
    <row r="61" spans="1:5" ht="15" customHeight="1">
      <c r="A61" s="55"/>
      <c r="B61" s="57"/>
      <c r="C61" s="58"/>
      <c r="D61" s="59"/>
      <c r="E61" s="61"/>
    </row>
    <row r="62" spans="1:5" ht="15" customHeight="1" thickBot="1">
      <c r="A62" s="71"/>
      <c r="B62" s="62"/>
      <c r="C62" s="63"/>
      <c r="D62" s="64"/>
      <c r="E62" s="65"/>
    </row>
    <row r="63" spans="1:5" ht="15" customHeight="1" thickBot="1">
      <c r="A63" s="177" t="s">
        <v>263</v>
      </c>
      <c r="B63" s="178"/>
      <c r="C63" s="178"/>
      <c r="D63" s="178"/>
      <c r="E63" s="179"/>
    </row>
    <row r="64" spans="1:5" ht="15" customHeight="1">
      <c r="A64" s="55"/>
      <c r="B64" s="57"/>
      <c r="C64" s="53"/>
      <c r="D64" s="15"/>
      <c r="E64" s="60"/>
    </row>
    <row r="65" spans="1:5" ht="15" customHeight="1">
      <c r="A65" s="175" t="s">
        <v>123</v>
      </c>
      <c r="B65" s="176"/>
      <c r="C65" s="58"/>
      <c r="D65" s="59"/>
      <c r="E65" s="61"/>
    </row>
    <row r="66" spans="1:5" ht="15" customHeight="1">
      <c r="A66" s="55"/>
      <c r="B66" s="57"/>
      <c r="C66" s="53"/>
      <c r="D66" s="15"/>
      <c r="E66" s="60"/>
    </row>
    <row r="67" spans="1:5" ht="15.75" customHeight="1">
      <c r="A67" s="175" t="s">
        <v>264</v>
      </c>
      <c r="B67" s="176"/>
      <c r="C67" s="58"/>
      <c r="D67" s="59"/>
      <c r="E67" s="61"/>
    </row>
    <row r="68" spans="1:5" ht="15" customHeight="1" thickBot="1">
      <c r="A68" s="56"/>
      <c r="B68" s="62"/>
      <c r="C68" s="63"/>
      <c r="D68" s="64"/>
      <c r="E68" s="65"/>
    </row>
    <row r="69" spans="1:5" ht="15" customHeight="1" thickBot="1">
      <c r="A69" s="182" t="s">
        <v>443</v>
      </c>
      <c r="B69" s="183"/>
      <c r="C69" s="183"/>
      <c r="D69" s="183"/>
      <c r="E69" s="184"/>
    </row>
    <row r="70" spans="1:5" ht="58.5" customHeight="1">
      <c r="A70" s="185" t="s">
        <v>438</v>
      </c>
      <c r="B70" s="185"/>
      <c r="C70" s="185"/>
      <c r="D70" s="185"/>
      <c r="E70" s="185"/>
    </row>
    <row r="71" spans="1:5" ht="15" customHeight="1">
      <c r="A71" s="57"/>
      <c r="B71" s="57"/>
      <c r="C71" s="73"/>
      <c r="D71" s="15"/>
      <c r="E71" s="15"/>
    </row>
    <row r="72" spans="1:5" ht="15" customHeight="1">
      <c r="A72" s="57"/>
      <c r="B72" s="113" t="s">
        <v>433</v>
      </c>
      <c r="C72" s="180" t="s">
        <v>432</v>
      </c>
      <c r="D72" s="180"/>
      <c r="E72" s="180"/>
    </row>
    <row r="73" spans="1:5" ht="15" customHeight="1">
      <c r="A73" s="57"/>
      <c r="B73" s="113"/>
      <c r="C73" s="73"/>
      <c r="D73" s="15"/>
      <c r="E73" s="15"/>
    </row>
    <row r="74" spans="1:5" ht="15" customHeight="1">
      <c r="A74" s="57"/>
      <c r="B74" s="113" t="s">
        <v>435</v>
      </c>
      <c r="C74" s="180" t="s">
        <v>432</v>
      </c>
      <c r="D74" s="180"/>
      <c r="E74" s="180"/>
    </row>
    <row r="75" spans="1:5" ht="15" customHeight="1">
      <c r="A75" s="57"/>
      <c r="B75" s="113"/>
      <c r="C75" s="73"/>
      <c r="D75" s="15"/>
      <c r="E75" s="15"/>
    </row>
    <row r="76" spans="1:5" ht="15" customHeight="1">
      <c r="A76" s="57"/>
      <c r="B76" s="113" t="s">
        <v>436</v>
      </c>
      <c r="C76" s="180" t="s">
        <v>432</v>
      </c>
      <c r="D76" s="180"/>
      <c r="E76" s="180"/>
    </row>
    <row r="77" spans="1:5" ht="15" customHeight="1">
      <c r="A77" s="57"/>
      <c r="B77" s="113"/>
      <c r="C77" s="73"/>
      <c r="D77" s="15"/>
      <c r="E77" s="15"/>
    </row>
    <row r="78" spans="1:5" ht="15" customHeight="1">
      <c r="A78" s="57"/>
      <c r="B78" s="113" t="s">
        <v>437</v>
      </c>
      <c r="C78" s="180" t="s">
        <v>432</v>
      </c>
      <c r="D78" s="180"/>
      <c r="E78" s="180"/>
    </row>
    <row r="79" spans="1:5" ht="15" customHeight="1">
      <c r="A79" s="57"/>
      <c r="B79" s="57"/>
      <c r="C79" s="112" t="s">
        <v>434</v>
      </c>
      <c r="D79" s="181">
        <f ca="1">NOW()</f>
        <v>42267.428544328701</v>
      </c>
      <c r="E79" s="181"/>
    </row>
    <row r="80" spans="1:5" ht="6.75" customHeight="1"/>
  </sheetData>
  <mergeCells count="54">
    <mergeCell ref="C78:E78"/>
    <mergeCell ref="D79:E79"/>
    <mergeCell ref="A69:E69"/>
    <mergeCell ref="A70:E70"/>
    <mergeCell ref="C72:E72"/>
    <mergeCell ref="C74:E74"/>
    <mergeCell ref="C76:E76"/>
    <mergeCell ref="A65:B65"/>
    <mergeCell ref="A67:B67"/>
    <mergeCell ref="A43:E43"/>
    <mergeCell ref="A49:E49"/>
    <mergeCell ref="A63:E63"/>
    <mergeCell ref="A45:B45"/>
    <mergeCell ref="A47:B47"/>
    <mergeCell ref="A57:B57"/>
    <mergeCell ref="A59:B59"/>
    <mergeCell ref="A51:B51"/>
    <mergeCell ref="A53:B53"/>
    <mergeCell ref="A1:E1"/>
    <mergeCell ref="A2:E2"/>
    <mergeCell ref="A3:E3"/>
    <mergeCell ref="A4:E4"/>
    <mergeCell ref="A5:E5"/>
    <mergeCell ref="C25:D25"/>
    <mergeCell ref="B19:C19"/>
    <mergeCell ref="B20:C20"/>
    <mergeCell ref="B13:D13"/>
    <mergeCell ref="A41:E41"/>
    <mergeCell ref="A35:E35"/>
    <mergeCell ref="A34:E34"/>
    <mergeCell ref="A38:E38"/>
    <mergeCell ref="A39:E39"/>
    <mergeCell ref="A40:E40"/>
    <mergeCell ref="B32:C32"/>
    <mergeCell ref="D32:E32"/>
    <mergeCell ref="A33:E33"/>
    <mergeCell ref="A37:E37"/>
    <mergeCell ref="A36:E36"/>
    <mergeCell ref="C8:D8"/>
    <mergeCell ref="A21:E21"/>
    <mergeCell ref="C22:D22"/>
    <mergeCell ref="A6:E6"/>
    <mergeCell ref="A31:E31"/>
    <mergeCell ref="A7:E7"/>
    <mergeCell ref="C9:D9"/>
    <mergeCell ref="C10:D10"/>
    <mergeCell ref="B11:C11"/>
    <mergeCell ref="B12:D12"/>
    <mergeCell ref="A15:E15"/>
    <mergeCell ref="B17:C17"/>
    <mergeCell ref="B18:C18"/>
    <mergeCell ref="B16:C16"/>
    <mergeCell ref="C24:D24"/>
    <mergeCell ref="C23:D23"/>
  </mergeCells>
  <phoneticPr fontId="1" type="noConversion"/>
  <printOptions horizontalCentered="1"/>
  <pageMargins left="0" right="0" top="0" bottom="0" header="0" footer="0"/>
  <pageSetup scale="48" orientation="portrait" horizontalDpi="203" verticalDpi="203" r:id="rId1"/>
  <drawing r:id="rId2"/>
</worksheet>
</file>

<file path=xl/worksheets/sheet3.xml><?xml version="1.0" encoding="utf-8"?>
<worksheet xmlns="http://schemas.openxmlformats.org/spreadsheetml/2006/main" xmlns:r="http://schemas.openxmlformats.org/officeDocument/2006/relationships">
  <sheetPr codeName="Sheet3">
    <tabColor rgb="FFC00000"/>
  </sheetPr>
  <dimension ref="A1:G276"/>
  <sheetViews>
    <sheetView topLeftCell="A220" workbookViewId="0">
      <pane xSplit="1" topLeftCell="B1" activePane="topRight" state="frozen"/>
      <selection activeCell="A125" sqref="A125"/>
      <selection pane="topRight" activeCell="C221" sqref="C221"/>
    </sheetView>
  </sheetViews>
  <sheetFormatPr defaultColWidth="9" defaultRowHeight="14.25"/>
  <cols>
    <col min="1" max="1" width="16.42578125" style="20" customWidth="1"/>
    <col min="2" max="2" width="24.5703125" style="20" customWidth="1"/>
    <col min="3" max="3" width="24.42578125" style="20" customWidth="1"/>
    <col min="4" max="4" width="16.5703125" style="20" customWidth="1"/>
    <col min="5" max="5" width="24.7109375" style="20" customWidth="1"/>
    <col min="6" max="6" width="18.85546875" style="20" customWidth="1"/>
    <col min="7" max="16384" width="9" style="20"/>
  </cols>
  <sheetData>
    <row r="1" spans="1:7" ht="15">
      <c r="A1" s="186" t="s">
        <v>41</v>
      </c>
      <c r="B1" s="186"/>
      <c r="C1" s="186"/>
      <c r="D1" s="186"/>
      <c r="E1" s="186"/>
      <c r="F1" s="186"/>
      <c r="G1" s="21"/>
    </row>
    <row r="2" spans="1:7">
      <c r="A2" s="22" t="s">
        <v>42</v>
      </c>
      <c r="B2" s="22" t="s">
        <v>41</v>
      </c>
      <c r="C2" s="22" t="s">
        <v>43</v>
      </c>
      <c r="D2" s="22" t="s">
        <v>30</v>
      </c>
      <c r="E2" s="22" t="s">
        <v>35</v>
      </c>
      <c r="F2" s="22" t="s">
        <v>302</v>
      </c>
    </row>
    <row r="3" spans="1:7">
      <c r="A3" s="22" t="s">
        <v>44</v>
      </c>
      <c r="B3" s="22" t="s">
        <v>103</v>
      </c>
      <c r="C3" s="22" t="s">
        <v>0</v>
      </c>
      <c r="D3" s="22" t="s">
        <v>45</v>
      </c>
      <c r="E3" s="22" t="s">
        <v>57</v>
      </c>
      <c r="F3" s="22" t="s">
        <v>299</v>
      </c>
    </row>
    <row r="4" spans="1:7">
      <c r="A4" s="22" t="s">
        <v>46</v>
      </c>
      <c r="B4" s="22" t="s">
        <v>1</v>
      </c>
      <c r="C4" s="22" t="s">
        <v>2</v>
      </c>
      <c r="D4" s="22" t="s">
        <v>3</v>
      </c>
      <c r="E4" s="22" t="s">
        <v>58</v>
      </c>
      <c r="F4" s="22" t="s">
        <v>300</v>
      </c>
    </row>
    <row r="5" spans="1:7">
      <c r="A5" s="22" t="s">
        <v>377</v>
      </c>
      <c r="B5" s="22" t="s">
        <v>412</v>
      </c>
      <c r="C5" s="22" t="s">
        <v>411</v>
      </c>
      <c r="D5" s="22" t="s">
        <v>413</v>
      </c>
      <c r="E5" s="22" t="s">
        <v>378</v>
      </c>
      <c r="F5" s="22" t="s">
        <v>379</v>
      </c>
    </row>
    <row r="6" spans="1:7">
      <c r="A6" s="22" t="s">
        <v>196</v>
      </c>
      <c r="B6" s="22" t="s">
        <v>197</v>
      </c>
      <c r="C6" s="22" t="s">
        <v>195</v>
      </c>
      <c r="D6" s="22" t="s">
        <v>198</v>
      </c>
      <c r="E6" s="108" t="s">
        <v>303</v>
      </c>
      <c r="F6" s="22" t="s">
        <v>301</v>
      </c>
    </row>
    <row r="7" spans="1:7">
      <c r="A7" s="22"/>
      <c r="B7" s="22"/>
      <c r="C7" s="22"/>
      <c r="D7" s="22"/>
      <c r="E7" s="22"/>
      <c r="F7" s="22"/>
    </row>
    <row r="9" spans="1:7">
      <c r="A9" s="22" t="s">
        <v>37</v>
      </c>
      <c r="B9" s="22">
        <v>0.115</v>
      </c>
      <c r="C9" s="9"/>
      <c r="D9" s="9"/>
    </row>
    <row r="10" spans="1:7">
      <c r="A10" s="22" t="s">
        <v>38</v>
      </c>
      <c r="B10" s="22">
        <v>0.5</v>
      </c>
      <c r="C10" s="23"/>
      <c r="D10" s="9"/>
    </row>
    <row r="11" spans="1:7">
      <c r="A11" s="22" t="s">
        <v>47</v>
      </c>
      <c r="B11" s="22">
        <v>1</v>
      </c>
      <c r="C11" s="23"/>
      <c r="D11" s="9"/>
    </row>
    <row r="12" spans="1:7">
      <c r="A12" s="22" t="s">
        <v>39</v>
      </c>
      <c r="B12" s="22">
        <v>1</v>
      </c>
    </row>
    <row r="13" spans="1:7">
      <c r="A13" s="22" t="s">
        <v>48</v>
      </c>
      <c r="B13" s="22">
        <v>0</v>
      </c>
    </row>
    <row r="14" spans="1:7">
      <c r="A14" s="22" t="s">
        <v>282</v>
      </c>
      <c r="B14" s="22">
        <v>1</v>
      </c>
    </row>
    <row r="15" spans="1:7">
      <c r="C15" s="9"/>
      <c r="D15" s="9"/>
    </row>
    <row r="17" spans="1:7">
      <c r="A17" s="187" t="s">
        <v>49</v>
      </c>
      <c r="B17" s="188"/>
      <c r="C17" s="188"/>
      <c r="D17" s="189"/>
    </row>
    <row r="18" spans="1:7">
      <c r="A18" s="8" t="s">
        <v>31</v>
      </c>
      <c r="B18" s="8" t="s">
        <v>42</v>
      </c>
      <c r="C18" s="8" t="s">
        <v>32</v>
      </c>
      <c r="D18" s="8" t="s">
        <v>52</v>
      </c>
    </row>
    <row r="19" spans="1:7">
      <c r="A19" s="49" t="s">
        <v>353</v>
      </c>
      <c r="B19" s="22" t="s">
        <v>355</v>
      </c>
      <c r="C19" s="24">
        <v>118</v>
      </c>
      <c r="D19" s="24">
        <v>0</v>
      </c>
    </row>
    <row r="20" spans="1:7">
      <c r="A20" s="49" t="s">
        <v>352</v>
      </c>
      <c r="B20" s="22" t="s">
        <v>354</v>
      </c>
      <c r="C20" s="24">
        <v>118</v>
      </c>
      <c r="D20" s="24">
        <v>0</v>
      </c>
    </row>
    <row r="21" spans="1:7">
      <c r="A21" s="49" t="s">
        <v>292</v>
      </c>
      <c r="B21" s="22" t="s">
        <v>295</v>
      </c>
      <c r="C21" s="24">
        <v>118</v>
      </c>
      <c r="D21" s="24">
        <v>0</v>
      </c>
      <c r="F21" s="9"/>
      <c r="G21" s="9"/>
    </row>
    <row r="22" spans="1:7" ht="15">
      <c r="A22" s="49" t="s">
        <v>350</v>
      </c>
      <c r="B22" s="22" t="s">
        <v>295</v>
      </c>
      <c r="C22" s="24">
        <v>118</v>
      </c>
      <c r="D22" s="24">
        <v>0</v>
      </c>
      <c r="F22" s="50"/>
      <c r="G22" s="51"/>
    </row>
    <row r="23" spans="1:7" ht="15">
      <c r="A23" s="49" t="s">
        <v>293</v>
      </c>
      <c r="B23" s="22" t="s">
        <v>296</v>
      </c>
      <c r="C23" s="24">
        <v>118</v>
      </c>
      <c r="D23" s="24">
        <v>0</v>
      </c>
      <c r="F23" s="50"/>
      <c r="G23" s="51"/>
    </row>
    <row r="24" spans="1:7" ht="15">
      <c r="A24" s="49" t="s">
        <v>294</v>
      </c>
      <c r="B24" s="22" t="s">
        <v>297</v>
      </c>
      <c r="C24" s="24">
        <v>252</v>
      </c>
      <c r="D24" s="24">
        <v>0</v>
      </c>
      <c r="F24" s="50"/>
      <c r="G24" s="51"/>
    </row>
    <row r="25" spans="1:7" ht="15">
      <c r="A25" s="49" t="s">
        <v>207</v>
      </c>
      <c r="B25" s="22" t="s">
        <v>134</v>
      </c>
      <c r="C25" s="24">
        <v>150</v>
      </c>
      <c r="D25" s="24">
        <v>0</v>
      </c>
      <c r="F25" s="50"/>
      <c r="G25" s="51"/>
    </row>
    <row r="26" spans="1:7" ht="15">
      <c r="A26" s="49" t="s">
        <v>208</v>
      </c>
      <c r="B26" s="22" t="s">
        <v>130</v>
      </c>
      <c r="C26" s="24">
        <v>100</v>
      </c>
      <c r="D26" s="24">
        <v>0</v>
      </c>
      <c r="F26" s="50"/>
      <c r="G26" s="51"/>
    </row>
    <row r="27" spans="1:7" ht="15">
      <c r="A27" s="49" t="s">
        <v>209</v>
      </c>
      <c r="B27" s="22" t="s">
        <v>131</v>
      </c>
      <c r="C27" s="24">
        <v>96</v>
      </c>
      <c r="D27" s="24">
        <v>0</v>
      </c>
      <c r="F27" s="50"/>
      <c r="G27" s="51"/>
    </row>
    <row r="28" spans="1:7" ht="15">
      <c r="A28" s="49" t="s">
        <v>210</v>
      </c>
      <c r="B28" s="22" t="s">
        <v>159</v>
      </c>
      <c r="C28" s="24">
        <v>168</v>
      </c>
      <c r="D28" s="24">
        <v>0</v>
      </c>
      <c r="F28" s="50"/>
      <c r="G28" s="51"/>
    </row>
    <row r="29" spans="1:7" ht="15">
      <c r="A29" s="49" t="s">
        <v>211</v>
      </c>
      <c r="B29" s="22" t="s">
        <v>158</v>
      </c>
      <c r="C29" s="24">
        <v>168</v>
      </c>
      <c r="D29" s="24">
        <v>0</v>
      </c>
      <c r="F29" s="50"/>
      <c r="G29" s="51"/>
    </row>
    <row r="30" spans="1:7" ht="15">
      <c r="A30" s="49" t="s">
        <v>212</v>
      </c>
      <c r="B30" s="22" t="s">
        <v>136</v>
      </c>
      <c r="C30" s="24">
        <v>168</v>
      </c>
      <c r="D30" s="24">
        <v>0</v>
      </c>
      <c r="F30" s="50"/>
      <c r="G30" s="51"/>
    </row>
    <row r="31" spans="1:7" ht="15">
      <c r="A31" s="49" t="s">
        <v>213</v>
      </c>
      <c r="B31" s="22" t="s">
        <v>137</v>
      </c>
      <c r="C31" s="24">
        <v>168</v>
      </c>
      <c r="D31" s="24">
        <v>0</v>
      </c>
      <c r="F31" s="50"/>
      <c r="G31" s="51"/>
    </row>
    <row r="32" spans="1:7" ht="15">
      <c r="A32" s="49" t="s">
        <v>311</v>
      </c>
      <c r="B32" s="22" t="s">
        <v>270</v>
      </c>
      <c r="C32" s="24">
        <v>460</v>
      </c>
      <c r="D32" s="24">
        <v>0</v>
      </c>
      <c r="F32" s="50"/>
      <c r="G32" s="51"/>
    </row>
    <row r="33" spans="1:7" ht="15">
      <c r="A33" s="49" t="s">
        <v>312</v>
      </c>
      <c r="B33" s="22" t="s">
        <v>202</v>
      </c>
      <c r="C33" s="24">
        <v>460</v>
      </c>
      <c r="D33" s="24">
        <v>0</v>
      </c>
      <c r="F33" s="50"/>
      <c r="G33" s="51"/>
    </row>
    <row r="34" spans="1:7" ht="15">
      <c r="A34" s="49" t="s">
        <v>319</v>
      </c>
      <c r="B34" s="22" t="s">
        <v>324</v>
      </c>
      <c r="C34" s="24">
        <v>635</v>
      </c>
      <c r="D34" s="24">
        <v>0</v>
      </c>
      <c r="F34" s="50"/>
      <c r="G34" s="51"/>
    </row>
    <row r="35" spans="1:7" ht="15">
      <c r="A35" s="49" t="s">
        <v>214</v>
      </c>
      <c r="B35" s="22" t="s">
        <v>133</v>
      </c>
      <c r="C35" s="24">
        <v>410</v>
      </c>
      <c r="D35" s="24">
        <v>0</v>
      </c>
      <c r="F35" s="50"/>
      <c r="G35" s="51"/>
    </row>
    <row r="36" spans="1:7" ht="15">
      <c r="A36" s="49" t="s">
        <v>215</v>
      </c>
      <c r="B36" s="22" t="s">
        <v>132</v>
      </c>
      <c r="C36" s="24">
        <v>410</v>
      </c>
      <c r="D36" s="24">
        <v>0</v>
      </c>
      <c r="F36" s="50"/>
      <c r="G36" s="51"/>
    </row>
    <row r="37" spans="1:7" ht="15">
      <c r="A37" s="49" t="s">
        <v>216</v>
      </c>
      <c r="B37" s="22" t="s">
        <v>178</v>
      </c>
      <c r="C37" s="24">
        <v>485</v>
      </c>
      <c r="D37" s="24">
        <v>0</v>
      </c>
      <c r="F37" s="50"/>
      <c r="G37" s="51"/>
    </row>
    <row r="38" spans="1:7" ht="15">
      <c r="A38" s="49" t="s">
        <v>217</v>
      </c>
      <c r="B38" s="22" t="s">
        <v>179</v>
      </c>
      <c r="C38" s="24">
        <v>485</v>
      </c>
      <c r="D38" s="24">
        <v>0</v>
      </c>
      <c r="F38" s="50"/>
      <c r="G38" s="51"/>
    </row>
    <row r="39" spans="1:7" ht="15">
      <c r="A39" s="49" t="s">
        <v>218</v>
      </c>
      <c r="B39" s="22" t="s">
        <v>176</v>
      </c>
      <c r="C39" s="24">
        <v>660</v>
      </c>
      <c r="D39" s="24">
        <v>0</v>
      </c>
      <c r="F39" s="50"/>
      <c r="G39" s="51"/>
    </row>
    <row r="40" spans="1:7" ht="15">
      <c r="A40" s="49" t="s">
        <v>219</v>
      </c>
      <c r="B40" s="22" t="s">
        <v>175</v>
      </c>
      <c r="C40" s="24">
        <v>660</v>
      </c>
      <c r="D40" s="24">
        <v>0</v>
      </c>
      <c r="F40" s="50"/>
      <c r="G40" s="51"/>
    </row>
    <row r="41" spans="1:7" ht="15">
      <c r="A41" s="49" t="s">
        <v>220</v>
      </c>
      <c r="B41" s="22" t="s">
        <v>177</v>
      </c>
      <c r="C41" s="24">
        <v>710</v>
      </c>
      <c r="D41" s="24">
        <v>0</v>
      </c>
      <c r="F41" s="50"/>
      <c r="G41" s="51"/>
    </row>
    <row r="42" spans="1:7" ht="15">
      <c r="A42" s="49" t="s">
        <v>321</v>
      </c>
      <c r="B42" s="22" t="s">
        <v>326</v>
      </c>
      <c r="C42" s="24">
        <v>864</v>
      </c>
      <c r="D42" s="24">
        <v>0</v>
      </c>
      <c r="F42" s="190"/>
      <c r="G42" s="190"/>
    </row>
    <row r="43" spans="1:7" ht="15">
      <c r="A43" s="49" t="s">
        <v>322</v>
      </c>
      <c r="B43" s="22" t="s">
        <v>327</v>
      </c>
      <c r="C43" s="24">
        <v>989</v>
      </c>
      <c r="D43" s="24">
        <v>0</v>
      </c>
      <c r="F43" s="50"/>
      <c r="G43" s="51"/>
    </row>
    <row r="44" spans="1:7" ht="15">
      <c r="A44" s="49" t="s">
        <v>323</v>
      </c>
      <c r="B44" s="22" t="s">
        <v>328</v>
      </c>
      <c r="C44" s="24">
        <v>989</v>
      </c>
      <c r="D44" s="24">
        <v>0</v>
      </c>
      <c r="F44" s="50"/>
      <c r="G44" s="51"/>
    </row>
    <row r="45" spans="1:7">
      <c r="A45" s="49" t="s">
        <v>313</v>
      </c>
      <c r="B45" s="22" t="s">
        <v>314</v>
      </c>
      <c r="C45" s="24">
        <v>460</v>
      </c>
      <c r="D45" s="24">
        <v>0</v>
      </c>
      <c r="F45" s="9"/>
      <c r="G45" s="9"/>
    </row>
    <row r="46" spans="1:7">
      <c r="A46" s="49" t="s">
        <v>304</v>
      </c>
      <c r="B46" s="22" t="s">
        <v>307</v>
      </c>
      <c r="C46" s="24">
        <v>168</v>
      </c>
      <c r="D46" s="24">
        <v>0</v>
      </c>
      <c r="F46" s="9"/>
      <c r="G46" s="9"/>
    </row>
    <row r="47" spans="1:7">
      <c r="A47" s="49" t="s">
        <v>305</v>
      </c>
      <c r="B47" s="22" t="s">
        <v>306</v>
      </c>
      <c r="C47" s="24">
        <v>168</v>
      </c>
      <c r="D47" s="24">
        <v>0</v>
      </c>
      <c r="F47" s="9"/>
      <c r="G47" s="9"/>
    </row>
    <row r="48" spans="1:7">
      <c r="A48" s="49" t="s">
        <v>221</v>
      </c>
      <c r="B48" s="22" t="s">
        <v>135</v>
      </c>
      <c r="C48" s="24">
        <v>168</v>
      </c>
      <c r="D48" s="24">
        <v>0</v>
      </c>
      <c r="F48" s="9"/>
      <c r="G48" s="9"/>
    </row>
    <row r="49" spans="1:7">
      <c r="A49" s="49" t="s">
        <v>222</v>
      </c>
      <c r="B49" s="22" t="s">
        <v>138</v>
      </c>
      <c r="C49" s="24">
        <v>360</v>
      </c>
      <c r="D49" s="24">
        <v>0</v>
      </c>
      <c r="F49" s="9"/>
      <c r="G49" s="9"/>
    </row>
    <row r="50" spans="1:7">
      <c r="A50" s="49" t="s">
        <v>223</v>
      </c>
      <c r="B50" s="22" t="s">
        <v>139</v>
      </c>
      <c r="C50" s="24">
        <v>360</v>
      </c>
      <c r="D50" s="24">
        <v>0</v>
      </c>
    </row>
    <row r="51" spans="1:7">
      <c r="A51" s="49" t="s">
        <v>320</v>
      </c>
      <c r="B51" s="22" t="s">
        <v>325</v>
      </c>
      <c r="C51" s="24">
        <v>810</v>
      </c>
      <c r="D51" s="24">
        <v>0</v>
      </c>
    </row>
    <row r="52" spans="1:7">
      <c r="A52" s="49" t="s">
        <v>129</v>
      </c>
      <c r="B52" s="22" t="s">
        <v>280</v>
      </c>
      <c r="C52" s="24">
        <v>0</v>
      </c>
      <c r="D52" s="24">
        <v>0</v>
      </c>
    </row>
    <row r="53" spans="1:7">
      <c r="A53" s="49" t="s">
        <v>224</v>
      </c>
      <c r="B53" s="22" t="s">
        <v>193</v>
      </c>
      <c r="C53" s="24">
        <v>150</v>
      </c>
      <c r="D53" s="24">
        <v>0</v>
      </c>
    </row>
    <row r="54" spans="1:7">
      <c r="A54" s="49" t="s">
        <v>225</v>
      </c>
      <c r="B54" s="22" t="s">
        <v>192</v>
      </c>
      <c r="C54" s="24">
        <v>200</v>
      </c>
      <c r="D54" s="24">
        <v>0</v>
      </c>
    </row>
    <row r="55" spans="1:7">
      <c r="A55" s="49" t="s">
        <v>287</v>
      </c>
      <c r="B55" s="22" t="s">
        <v>288</v>
      </c>
      <c r="C55" s="24">
        <v>5</v>
      </c>
      <c r="D55" s="24">
        <v>0</v>
      </c>
    </row>
    <row r="56" spans="1:7">
      <c r="A56" s="49" t="s">
        <v>347</v>
      </c>
      <c r="B56" s="22" t="s">
        <v>348</v>
      </c>
      <c r="C56" s="24">
        <v>125</v>
      </c>
      <c r="D56" s="24">
        <v>0</v>
      </c>
    </row>
    <row r="57" spans="1:7">
      <c r="A57" s="49" t="s">
        <v>226</v>
      </c>
      <c r="B57" s="22" t="s">
        <v>151</v>
      </c>
      <c r="C57" s="24">
        <v>150</v>
      </c>
      <c r="D57" s="24">
        <v>0</v>
      </c>
    </row>
    <row r="58" spans="1:7">
      <c r="A58" s="49" t="s">
        <v>229</v>
      </c>
      <c r="B58" s="22" t="s">
        <v>206</v>
      </c>
      <c r="C58" s="24">
        <v>200</v>
      </c>
      <c r="D58" s="24">
        <v>0</v>
      </c>
    </row>
    <row r="59" spans="1:7">
      <c r="A59" s="49" t="s">
        <v>237</v>
      </c>
      <c r="B59" s="22" t="s">
        <v>147</v>
      </c>
      <c r="C59" s="24">
        <v>275</v>
      </c>
      <c r="D59" s="24">
        <v>0</v>
      </c>
    </row>
    <row r="60" spans="1:7">
      <c r="A60" s="49" t="s">
        <v>238</v>
      </c>
      <c r="B60" s="22" t="s">
        <v>148</v>
      </c>
      <c r="C60" s="24">
        <v>350</v>
      </c>
      <c r="D60" s="24">
        <v>0</v>
      </c>
    </row>
    <row r="61" spans="1:7">
      <c r="A61" s="49" t="s">
        <v>254</v>
      </c>
      <c r="B61" s="22" t="s">
        <v>257</v>
      </c>
      <c r="C61" s="24">
        <v>400</v>
      </c>
      <c r="D61" s="24">
        <v>0</v>
      </c>
    </row>
    <row r="62" spans="1:7">
      <c r="A62" s="49" t="s">
        <v>240</v>
      </c>
      <c r="B62" s="22" t="s">
        <v>146</v>
      </c>
      <c r="C62" s="24">
        <v>450</v>
      </c>
      <c r="D62" s="24">
        <v>0</v>
      </c>
    </row>
    <row r="63" spans="1:7">
      <c r="A63" s="49" t="s">
        <v>228</v>
      </c>
      <c r="B63" s="22" t="s">
        <v>152</v>
      </c>
      <c r="C63" s="24">
        <v>110</v>
      </c>
      <c r="D63" s="24">
        <v>0</v>
      </c>
    </row>
    <row r="64" spans="1:7">
      <c r="A64" s="49" t="s">
        <v>250</v>
      </c>
      <c r="B64" s="22" t="s">
        <v>156</v>
      </c>
      <c r="C64" s="24">
        <v>230</v>
      </c>
      <c r="D64" s="24">
        <v>0</v>
      </c>
    </row>
    <row r="65" spans="1:4">
      <c r="A65" s="49" t="s">
        <v>253</v>
      </c>
      <c r="B65" s="22" t="s">
        <v>256</v>
      </c>
      <c r="C65" s="24">
        <v>250</v>
      </c>
      <c r="D65" s="24">
        <v>0</v>
      </c>
    </row>
    <row r="66" spans="1:4">
      <c r="A66" s="49" t="s">
        <v>249</v>
      </c>
      <c r="B66" s="22" t="s">
        <v>199</v>
      </c>
      <c r="C66" s="24">
        <v>200</v>
      </c>
      <c r="D66" s="24">
        <v>0</v>
      </c>
    </row>
    <row r="67" spans="1:4">
      <c r="A67" s="49" t="s">
        <v>227</v>
      </c>
      <c r="B67" s="22" t="s">
        <v>154</v>
      </c>
      <c r="C67" s="24">
        <v>75</v>
      </c>
      <c r="D67" s="24">
        <v>0</v>
      </c>
    </row>
    <row r="68" spans="1:4">
      <c r="A68" s="49" t="s">
        <v>346</v>
      </c>
      <c r="B68" s="22" t="s">
        <v>349</v>
      </c>
      <c r="C68" s="24">
        <v>360</v>
      </c>
      <c r="D68" s="24">
        <v>0</v>
      </c>
    </row>
    <row r="69" spans="1:4">
      <c r="A69" s="49" t="s">
        <v>230</v>
      </c>
      <c r="B69" s="22" t="s">
        <v>171</v>
      </c>
      <c r="C69" s="24">
        <v>75</v>
      </c>
      <c r="D69" s="24">
        <v>0</v>
      </c>
    </row>
    <row r="70" spans="1:4">
      <c r="A70" s="49" t="s">
        <v>236</v>
      </c>
      <c r="B70" s="22" t="s">
        <v>204</v>
      </c>
      <c r="C70" s="24">
        <v>75</v>
      </c>
      <c r="D70" s="24">
        <v>0</v>
      </c>
    </row>
    <row r="71" spans="1:4">
      <c r="A71" s="49" t="s">
        <v>241</v>
      </c>
      <c r="B71" s="22" t="s">
        <v>187</v>
      </c>
      <c r="C71" s="24">
        <v>150</v>
      </c>
      <c r="D71" s="24">
        <v>0</v>
      </c>
    </row>
    <row r="72" spans="1:4">
      <c r="A72" s="49" t="s">
        <v>242</v>
      </c>
      <c r="B72" s="22" t="s">
        <v>186</v>
      </c>
      <c r="C72" s="24">
        <v>200</v>
      </c>
      <c r="D72" s="24">
        <v>0</v>
      </c>
    </row>
    <row r="73" spans="1:4">
      <c r="A73" s="49" t="s">
        <v>247</v>
      </c>
      <c r="B73" s="22" t="s">
        <v>155</v>
      </c>
      <c r="C73" s="24">
        <v>75</v>
      </c>
      <c r="D73" s="24">
        <v>0</v>
      </c>
    </row>
    <row r="74" spans="1:4">
      <c r="A74" s="49" t="s">
        <v>356</v>
      </c>
      <c r="B74" s="22" t="s">
        <v>357</v>
      </c>
      <c r="C74" s="24">
        <v>125</v>
      </c>
      <c r="D74" s="24">
        <v>0</v>
      </c>
    </row>
    <row r="75" spans="1:4">
      <c r="A75" s="49" t="s">
        <v>243</v>
      </c>
      <c r="B75" s="22" t="s">
        <v>188</v>
      </c>
      <c r="C75" s="24">
        <v>200</v>
      </c>
      <c r="D75" s="24">
        <v>0</v>
      </c>
    </row>
    <row r="76" spans="1:4">
      <c r="A76" s="49" t="s">
        <v>266</v>
      </c>
      <c r="B76" s="22" t="s">
        <v>267</v>
      </c>
      <c r="C76" s="24">
        <v>400</v>
      </c>
      <c r="D76" s="24">
        <v>0</v>
      </c>
    </row>
    <row r="77" spans="1:4">
      <c r="A77" s="49" t="s">
        <v>252</v>
      </c>
      <c r="B77" s="22" t="s">
        <v>255</v>
      </c>
      <c r="C77" s="24">
        <v>250</v>
      </c>
      <c r="D77" s="24">
        <v>0</v>
      </c>
    </row>
    <row r="78" spans="1:4">
      <c r="A78" s="49" t="s">
        <v>233</v>
      </c>
      <c r="B78" s="22" t="s">
        <v>205</v>
      </c>
      <c r="C78" s="24">
        <v>320</v>
      </c>
      <c r="D78" s="24">
        <v>0</v>
      </c>
    </row>
    <row r="79" spans="1:4">
      <c r="A79" s="49" t="s">
        <v>231</v>
      </c>
      <c r="B79" s="22" t="s">
        <v>200</v>
      </c>
      <c r="C79" s="24">
        <v>250</v>
      </c>
      <c r="D79" s="24">
        <v>0</v>
      </c>
    </row>
    <row r="80" spans="1:4">
      <c r="A80" s="49" t="s">
        <v>232</v>
      </c>
      <c r="B80" s="22" t="s">
        <v>201</v>
      </c>
      <c r="C80" s="24">
        <v>280</v>
      </c>
      <c r="D80" s="24">
        <v>0</v>
      </c>
    </row>
    <row r="81" spans="1:4">
      <c r="A81" s="49" t="s">
        <v>234</v>
      </c>
      <c r="B81" s="22" t="s">
        <v>202</v>
      </c>
      <c r="C81" s="24">
        <v>500</v>
      </c>
      <c r="D81" s="24">
        <v>0</v>
      </c>
    </row>
    <row r="82" spans="1:4">
      <c r="A82" s="49" t="s">
        <v>235</v>
      </c>
      <c r="B82" s="22" t="s">
        <v>203</v>
      </c>
      <c r="C82" s="24">
        <v>530</v>
      </c>
      <c r="D82" s="24">
        <v>0</v>
      </c>
    </row>
    <row r="83" spans="1:4">
      <c r="A83" s="49" t="s">
        <v>361</v>
      </c>
      <c r="B83" s="22" t="s">
        <v>375</v>
      </c>
      <c r="C83" s="24">
        <v>760</v>
      </c>
      <c r="D83" s="24">
        <v>0</v>
      </c>
    </row>
    <row r="84" spans="1:4">
      <c r="A84" s="49" t="s">
        <v>362</v>
      </c>
      <c r="B84" s="22" t="s">
        <v>376</v>
      </c>
      <c r="C84" s="24">
        <v>860</v>
      </c>
      <c r="D84" s="24">
        <v>0</v>
      </c>
    </row>
    <row r="85" spans="1:4">
      <c r="A85" s="49" t="s">
        <v>269</v>
      </c>
      <c r="B85" s="22" t="s">
        <v>268</v>
      </c>
      <c r="C85" s="24">
        <v>100</v>
      </c>
      <c r="D85" s="24">
        <v>0</v>
      </c>
    </row>
    <row r="86" spans="1:4">
      <c r="A86" s="49" t="s">
        <v>407</v>
      </c>
      <c r="B86" s="22" t="s">
        <v>408</v>
      </c>
      <c r="C86" s="24">
        <v>252</v>
      </c>
      <c r="D86" s="24">
        <v>0</v>
      </c>
    </row>
    <row r="87" spans="1:4">
      <c r="A87" s="49" t="s">
        <v>409</v>
      </c>
      <c r="B87" s="22" t="s">
        <v>410</v>
      </c>
      <c r="C87" s="24">
        <v>67.2</v>
      </c>
      <c r="D87" s="24">
        <v>0</v>
      </c>
    </row>
    <row r="88" spans="1:4">
      <c r="A88" s="49" t="s">
        <v>422</v>
      </c>
      <c r="B88" s="22" t="s">
        <v>423</v>
      </c>
      <c r="C88" s="24">
        <v>410</v>
      </c>
      <c r="D88" s="24">
        <v>0</v>
      </c>
    </row>
    <row r="89" spans="1:4">
      <c r="A89" s="49" t="s">
        <v>418</v>
      </c>
      <c r="B89" s="22" t="s">
        <v>420</v>
      </c>
      <c r="C89" s="24">
        <v>216</v>
      </c>
      <c r="D89" s="24">
        <v>0</v>
      </c>
    </row>
    <row r="90" spans="1:4">
      <c r="A90" s="49" t="s">
        <v>419</v>
      </c>
      <c r="B90" s="22" t="s">
        <v>421</v>
      </c>
      <c r="C90" s="24">
        <v>240</v>
      </c>
      <c r="D90" s="24">
        <v>0</v>
      </c>
    </row>
    <row r="91" spans="1:4">
      <c r="A91" s="49"/>
      <c r="B91" s="22"/>
      <c r="C91" s="24"/>
      <c r="D91" s="24"/>
    </row>
    <row r="92" spans="1:4">
      <c r="A92" s="49"/>
      <c r="B92" s="22"/>
      <c r="C92" s="24"/>
      <c r="D92" s="24"/>
    </row>
    <row r="93" spans="1:4">
      <c r="A93" s="49" t="s">
        <v>239</v>
      </c>
      <c r="B93" s="22" t="s">
        <v>149</v>
      </c>
      <c r="C93" s="24">
        <v>100</v>
      </c>
      <c r="D93" s="24">
        <v>0</v>
      </c>
    </row>
    <row r="94" spans="1:4">
      <c r="A94" s="49" t="s">
        <v>244</v>
      </c>
      <c r="B94" s="22" t="s">
        <v>153</v>
      </c>
      <c r="C94" s="24">
        <v>320</v>
      </c>
      <c r="D94" s="24">
        <v>0</v>
      </c>
    </row>
    <row r="95" spans="1:4">
      <c r="A95" s="49" t="s">
        <v>245</v>
      </c>
      <c r="B95" s="22" t="s">
        <v>150</v>
      </c>
      <c r="C95" s="24">
        <v>600</v>
      </c>
      <c r="D95" s="24">
        <v>0</v>
      </c>
    </row>
    <row r="96" spans="1:4">
      <c r="A96" s="49" t="s">
        <v>358</v>
      </c>
      <c r="B96" s="22" t="s">
        <v>359</v>
      </c>
      <c r="C96" s="24">
        <v>70</v>
      </c>
      <c r="D96" s="24">
        <v>0</v>
      </c>
    </row>
    <row r="97" spans="1:4">
      <c r="A97" s="49" t="s">
        <v>246</v>
      </c>
      <c r="B97" s="22" t="s">
        <v>170</v>
      </c>
      <c r="C97" s="24">
        <v>150</v>
      </c>
      <c r="D97" s="24">
        <v>0</v>
      </c>
    </row>
    <row r="98" spans="1:4">
      <c r="A98" s="49" t="s">
        <v>248</v>
      </c>
      <c r="B98" s="22" t="s">
        <v>189</v>
      </c>
      <c r="C98" s="24">
        <v>275</v>
      </c>
      <c r="D98" s="24">
        <v>0</v>
      </c>
    </row>
    <row r="99" spans="1:4">
      <c r="A99" s="49" t="s">
        <v>251</v>
      </c>
      <c r="B99" s="22" t="s">
        <v>169</v>
      </c>
      <c r="C99" s="24">
        <v>70</v>
      </c>
      <c r="D99" s="24">
        <v>0</v>
      </c>
    </row>
    <row r="100" spans="1:4">
      <c r="A100" s="49" t="s">
        <v>398</v>
      </c>
      <c r="B100" s="22" t="s">
        <v>399</v>
      </c>
      <c r="C100" s="24">
        <v>312</v>
      </c>
      <c r="D100" s="24">
        <v>0</v>
      </c>
    </row>
    <row r="101" spans="1:4">
      <c r="A101" s="49"/>
      <c r="B101" s="22"/>
      <c r="C101" s="24"/>
      <c r="D101" s="24"/>
    </row>
    <row r="102" spans="1:4">
      <c r="A102" s="49"/>
      <c r="B102" s="22"/>
      <c r="C102" s="24"/>
      <c r="D102" s="24"/>
    </row>
    <row r="104" spans="1:4">
      <c r="A104" s="186" t="s">
        <v>36</v>
      </c>
      <c r="B104" s="186"/>
    </row>
    <row r="105" spans="1:4">
      <c r="A105" s="8" t="s">
        <v>4</v>
      </c>
      <c r="B105" s="8" t="s">
        <v>106</v>
      </c>
      <c r="C105" s="8" t="s">
        <v>5</v>
      </c>
    </row>
    <row r="106" spans="1:4">
      <c r="A106" s="22"/>
      <c r="B106" s="22"/>
      <c r="C106" s="24"/>
    </row>
    <row r="107" spans="1:4">
      <c r="A107" s="22" t="s">
        <v>79</v>
      </c>
      <c r="B107" s="22" t="s">
        <v>79</v>
      </c>
      <c r="C107" s="24">
        <v>20</v>
      </c>
    </row>
    <row r="108" spans="1:4">
      <c r="A108" s="22" t="s">
        <v>78</v>
      </c>
      <c r="B108" s="22" t="s">
        <v>78</v>
      </c>
      <c r="C108" s="24">
        <v>30</v>
      </c>
    </row>
    <row r="109" spans="1:4">
      <c r="A109" s="22" t="s">
        <v>77</v>
      </c>
      <c r="B109" s="22" t="s">
        <v>77</v>
      </c>
      <c r="C109" s="24">
        <v>15</v>
      </c>
    </row>
    <row r="110" spans="1:4">
      <c r="A110" s="22" t="s">
        <v>89</v>
      </c>
      <c r="B110" s="22" t="s">
        <v>89</v>
      </c>
      <c r="C110" s="24">
        <v>10</v>
      </c>
    </row>
    <row r="111" spans="1:4">
      <c r="A111" s="22" t="s">
        <v>6</v>
      </c>
      <c r="B111" s="22" t="s">
        <v>6</v>
      </c>
      <c r="C111" s="24">
        <v>15</v>
      </c>
    </row>
    <row r="112" spans="1:4">
      <c r="A112" s="22" t="s">
        <v>7</v>
      </c>
      <c r="B112" s="22" t="s">
        <v>7</v>
      </c>
      <c r="C112" s="24">
        <v>15</v>
      </c>
    </row>
    <row r="113" spans="1:3">
      <c r="A113" s="22" t="s">
        <v>8</v>
      </c>
      <c r="B113" s="22" t="s">
        <v>8</v>
      </c>
      <c r="C113" s="24">
        <v>25</v>
      </c>
    </row>
    <row r="114" spans="1:3">
      <c r="A114" s="22" t="s">
        <v>9</v>
      </c>
      <c r="B114" s="22" t="s">
        <v>9</v>
      </c>
      <c r="C114" s="24">
        <v>15</v>
      </c>
    </row>
    <row r="115" spans="1:3">
      <c r="A115" s="22" t="s">
        <v>10</v>
      </c>
      <c r="B115" s="22" t="s">
        <v>10</v>
      </c>
      <c r="C115" s="24">
        <v>45</v>
      </c>
    </row>
    <row r="116" spans="1:3">
      <c r="A116" s="22" t="s">
        <v>190</v>
      </c>
      <c r="B116" s="22" t="s">
        <v>190</v>
      </c>
      <c r="C116" s="24">
        <v>25</v>
      </c>
    </row>
    <row r="117" spans="1:3">
      <c r="A117" s="22" t="s">
        <v>160</v>
      </c>
      <c r="B117" s="22" t="s">
        <v>160</v>
      </c>
      <c r="C117" s="24">
        <v>15</v>
      </c>
    </row>
    <row r="118" spans="1:3">
      <c r="A118" s="22"/>
      <c r="B118" s="22"/>
      <c r="C118" s="24"/>
    </row>
    <row r="119" spans="1:3">
      <c r="A119" s="22" t="s">
        <v>414</v>
      </c>
      <c r="B119" s="22" t="s">
        <v>414</v>
      </c>
      <c r="C119" s="24">
        <v>35</v>
      </c>
    </row>
    <row r="120" spans="1:3">
      <c r="A120" s="22" t="s">
        <v>415</v>
      </c>
      <c r="B120" s="22" t="s">
        <v>415</v>
      </c>
      <c r="C120" s="24">
        <v>35</v>
      </c>
    </row>
    <row r="121" spans="1:3">
      <c r="A121" s="22" t="s">
        <v>416</v>
      </c>
      <c r="B121" s="22" t="s">
        <v>416</v>
      </c>
      <c r="C121" s="24">
        <v>35</v>
      </c>
    </row>
    <row r="122" spans="1:3">
      <c r="A122" s="22" t="s">
        <v>417</v>
      </c>
      <c r="B122" s="22" t="s">
        <v>417</v>
      </c>
      <c r="C122" s="24">
        <v>15</v>
      </c>
    </row>
    <row r="123" spans="1:3">
      <c r="A123" s="22" t="s">
        <v>424</v>
      </c>
      <c r="B123" s="22" t="s">
        <v>427</v>
      </c>
      <c r="C123" s="24">
        <v>15</v>
      </c>
    </row>
    <row r="124" spans="1:3">
      <c r="A124" s="22" t="s">
        <v>425</v>
      </c>
      <c r="B124" s="22" t="s">
        <v>428</v>
      </c>
      <c r="C124" s="24">
        <v>10</v>
      </c>
    </row>
    <row r="125" spans="1:3">
      <c r="A125" s="22" t="s">
        <v>426</v>
      </c>
      <c r="B125" s="22" t="s">
        <v>429</v>
      </c>
      <c r="C125" s="24">
        <v>15</v>
      </c>
    </row>
    <row r="126" spans="1:3">
      <c r="A126" s="22"/>
      <c r="B126" s="22"/>
      <c r="C126" s="24"/>
    </row>
    <row r="127" spans="1:3">
      <c r="A127" s="22" t="s">
        <v>161</v>
      </c>
      <c r="B127" s="22" t="s">
        <v>161</v>
      </c>
      <c r="C127" s="24">
        <v>10</v>
      </c>
    </row>
    <row r="128" spans="1:3">
      <c r="A128" s="22" t="s">
        <v>396</v>
      </c>
      <c r="B128" s="22" t="s">
        <v>396</v>
      </c>
      <c r="C128" s="24">
        <v>15</v>
      </c>
    </row>
    <row r="129" spans="1:3">
      <c r="A129" s="22" t="s">
        <v>11</v>
      </c>
      <c r="B129" s="22" t="s">
        <v>11</v>
      </c>
      <c r="C129" s="24">
        <v>25</v>
      </c>
    </row>
    <row r="130" spans="1:3">
      <c r="A130" s="22" t="s">
        <v>12</v>
      </c>
      <c r="B130" s="22" t="s">
        <v>12</v>
      </c>
      <c r="C130" s="24">
        <v>20</v>
      </c>
    </row>
    <row r="131" spans="1:3">
      <c r="A131" s="22" t="s">
        <v>13</v>
      </c>
      <c r="B131" s="22" t="s">
        <v>13</v>
      </c>
      <c r="C131" s="24">
        <v>25</v>
      </c>
    </row>
    <row r="132" spans="1:3">
      <c r="A132" s="22" t="s">
        <v>397</v>
      </c>
      <c r="B132" s="22" t="s">
        <v>397</v>
      </c>
      <c r="C132" s="24">
        <v>30</v>
      </c>
    </row>
    <row r="133" spans="1:3">
      <c r="A133" s="22" t="s">
        <v>14</v>
      </c>
      <c r="B133" s="22" t="s">
        <v>14</v>
      </c>
      <c r="C133" s="24">
        <v>10</v>
      </c>
    </row>
    <row r="134" spans="1:3">
      <c r="A134" s="22" t="s">
        <v>15</v>
      </c>
      <c r="B134" s="22" t="s">
        <v>15</v>
      </c>
      <c r="C134" s="24">
        <v>50</v>
      </c>
    </row>
    <row r="135" spans="1:3">
      <c r="A135" s="22" t="s">
        <v>194</v>
      </c>
      <c r="B135" s="22" t="s">
        <v>194</v>
      </c>
      <c r="C135" s="24">
        <v>10</v>
      </c>
    </row>
    <row r="136" spans="1:3">
      <c r="A136" s="22" t="s">
        <v>174</v>
      </c>
      <c r="B136" s="22" t="s">
        <v>174</v>
      </c>
      <c r="C136" s="24">
        <v>20</v>
      </c>
    </row>
    <row r="137" spans="1:3">
      <c r="A137" s="22" t="s">
        <v>360</v>
      </c>
      <c r="B137" s="22" t="s">
        <v>360</v>
      </c>
      <c r="C137" s="24">
        <v>20</v>
      </c>
    </row>
    <row r="138" spans="1:3">
      <c r="A138" s="22" t="s">
        <v>315</v>
      </c>
      <c r="B138" s="22" t="s">
        <v>315</v>
      </c>
      <c r="C138" s="24">
        <v>15</v>
      </c>
    </row>
    <row r="139" spans="1:3">
      <c r="A139" s="22" t="s">
        <v>316</v>
      </c>
      <c r="B139" s="22" t="s">
        <v>316</v>
      </c>
      <c r="C139" s="24">
        <v>10</v>
      </c>
    </row>
    <row r="140" spans="1:3">
      <c r="A140" s="22" t="s">
        <v>317</v>
      </c>
      <c r="B140" s="22" t="s">
        <v>317</v>
      </c>
      <c r="C140" s="24">
        <v>25</v>
      </c>
    </row>
    <row r="141" spans="1:3">
      <c r="A141" s="22" t="s">
        <v>191</v>
      </c>
      <c r="B141" s="22" t="s">
        <v>191</v>
      </c>
      <c r="C141" s="24">
        <v>20</v>
      </c>
    </row>
    <row r="142" spans="1:3">
      <c r="A142" s="22" t="s">
        <v>145</v>
      </c>
      <c r="B142" s="22" t="s">
        <v>145</v>
      </c>
      <c r="C142" s="24">
        <v>20</v>
      </c>
    </row>
    <row r="143" spans="1:3">
      <c r="A143" s="22" t="s">
        <v>83</v>
      </c>
      <c r="B143" s="22" t="s">
        <v>83</v>
      </c>
      <c r="C143" s="24">
        <v>30</v>
      </c>
    </row>
    <row r="144" spans="1:3">
      <c r="A144" s="22" t="s">
        <v>82</v>
      </c>
      <c r="B144" s="22" t="s">
        <v>82</v>
      </c>
      <c r="C144" s="24">
        <v>15</v>
      </c>
    </row>
    <row r="145" spans="1:3">
      <c r="A145" s="22" t="s">
        <v>81</v>
      </c>
      <c r="B145" s="22" t="s">
        <v>81</v>
      </c>
      <c r="C145" s="24">
        <v>25</v>
      </c>
    </row>
    <row r="146" spans="1:3">
      <c r="A146" s="22" t="s">
        <v>80</v>
      </c>
      <c r="B146" s="22" t="s">
        <v>80</v>
      </c>
      <c r="C146" s="24">
        <v>15</v>
      </c>
    </row>
    <row r="147" spans="1:3">
      <c r="A147" s="22" t="s">
        <v>90</v>
      </c>
      <c r="B147" s="22" t="s">
        <v>90</v>
      </c>
      <c r="C147" s="24">
        <v>10</v>
      </c>
    </row>
    <row r="148" spans="1:3">
      <c r="A148" s="22" t="s">
        <v>88</v>
      </c>
      <c r="B148" s="22" t="s">
        <v>88</v>
      </c>
      <c r="C148" s="24">
        <v>10</v>
      </c>
    </row>
    <row r="149" spans="1:3">
      <c r="A149" s="22" t="s">
        <v>284</v>
      </c>
      <c r="B149" s="22" t="s">
        <v>284</v>
      </c>
      <c r="C149" s="24">
        <v>25</v>
      </c>
    </row>
    <row r="150" spans="1:3">
      <c r="A150" s="22" t="s">
        <v>285</v>
      </c>
      <c r="B150" s="22" t="s">
        <v>285</v>
      </c>
      <c r="C150" s="24">
        <v>15</v>
      </c>
    </row>
    <row r="151" spans="1:3">
      <c r="A151" s="22" t="s">
        <v>286</v>
      </c>
      <c r="B151" s="22" t="s">
        <v>286</v>
      </c>
      <c r="C151" s="24">
        <v>10</v>
      </c>
    </row>
    <row r="152" spans="1:3">
      <c r="A152" s="22" t="s">
        <v>318</v>
      </c>
      <c r="B152" s="22" t="s">
        <v>318</v>
      </c>
      <c r="C152" s="24">
        <v>25</v>
      </c>
    </row>
    <row r="153" spans="1:3">
      <c r="A153" s="22" t="s">
        <v>334</v>
      </c>
      <c r="B153" s="22" t="s">
        <v>334</v>
      </c>
      <c r="C153" s="24">
        <v>20</v>
      </c>
    </row>
    <row r="154" spans="1:3">
      <c r="A154" s="22" t="s">
        <v>335</v>
      </c>
      <c r="B154" s="22" t="s">
        <v>335</v>
      </c>
      <c r="C154" s="24">
        <v>25</v>
      </c>
    </row>
    <row r="155" spans="1:3">
      <c r="A155" s="22" t="s">
        <v>333</v>
      </c>
      <c r="B155" s="22" t="s">
        <v>333</v>
      </c>
      <c r="C155" s="24">
        <v>15</v>
      </c>
    </row>
    <row r="156" spans="1:3">
      <c r="A156" s="22" t="s">
        <v>336</v>
      </c>
      <c r="B156" s="22" t="s">
        <v>336</v>
      </c>
      <c r="C156" s="24">
        <v>10</v>
      </c>
    </row>
    <row r="157" spans="1:3">
      <c r="A157" s="22" t="s">
        <v>337</v>
      </c>
      <c r="B157" s="22" t="s">
        <v>337</v>
      </c>
      <c r="C157" s="24">
        <v>25</v>
      </c>
    </row>
    <row r="158" spans="1:3">
      <c r="A158" s="22" t="s">
        <v>364</v>
      </c>
      <c r="B158" s="22" t="s">
        <v>364</v>
      </c>
      <c r="C158" s="24">
        <v>25</v>
      </c>
    </row>
    <row r="159" spans="1:3">
      <c r="A159" s="22" t="s">
        <v>370</v>
      </c>
      <c r="B159" s="22" t="s">
        <v>370</v>
      </c>
      <c r="C159" s="24">
        <v>25</v>
      </c>
    </row>
    <row r="160" spans="1:3">
      <c r="A160" s="22" t="s">
        <v>372</v>
      </c>
      <c r="B160" s="22" t="s">
        <v>372</v>
      </c>
      <c r="C160" s="24">
        <v>30</v>
      </c>
    </row>
    <row r="161" spans="1:3">
      <c r="A161" s="22" t="s">
        <v>369</v>
      </c>
      <c r="B161" s="22" t="s">
        <v>369</v>
      </c>
      <c r="C161" s="24">
        <v>20</v>
      </c>
    </row>
    <row r="162" spans="1:3">
      <c r="A162" s="22" t="s">
        <v>371</v>
      </c>
      <c r="B162" s="22" t="s">
        <v>371</v>
      </c>
      <c r="C162" s="24">
        <v>25</v>
      </c>
    </row>
    <row r="163" spans="1:3">
      <c r="A163" s="22" t="s">
        <v>373</v>
      </c>
      <c r="B163" s="22" t="s">
        <v>373</v>
      </c>
      <c r="C163" s="24">
        <v>10</v>
      </c>
    </row>
    <row r="164" spans="1:3">
      <c r="A164" s="22" t="s">
        <v>374</v>
      </c>
      <c r="B164" s="22" t="s">
        <v>374</v>
      </c>
      <c r="C164" s="24">
        <v>25</v>
      </c>
    </row>
    <row r="165" spans="1:3">
      <c r="A165" s="22" t="s">
        <v>366</v>
      </c>
      <c r="B165" s="22" t="s">
        <v>366</v>
      </c>
      <c r="C165" s="24">
        <v>30</v>
      </c>
    </row>
    <row r="166" spans="1:3">
      <c r="A166" s="22" t="s">
        <v>363</v>
      </c>
      <c r="B166" s="22" t="s">
        <v>363</v>
      </c>
      <c r="C166" s="24">
        <v>20</v>
      </c>
    </row>
    <row r="167" spans="1:3">
      <c r="A167" s="22" t="s">
        <v>365</v>
      </c>
      <c r="B167" s="22" t="s">
        <v>365</v>
      </c>
      <c r="C167" s="24">
        <v>25</v>
      </c>
    </row>
    <row r="168" spans="1:3">
      <c r="A168" s="22" t="s">
        <v>368</v>
      </c>
      <c r="B168" s="22" t="s">
        <v>368</v>
      </c>
      <c r="C168" s="24">
        <v>10</v>
      </c>
    </row>
    <row r="169" spans="1:3">
      <c r="A169" s="22" t="s">
        <v>367</v>
      </c>
      <c r="B169" s="22" t="s">
        <v>367</v>
      </c>
      <c r="C169" s="24">
        <v>25</v>
      </c>
    </row>
    <row r="170" spans="1:3">
      <c r="A170" s="22" t="s">
        <v>16</v>
      </c>
      <c r="B170" s="22" t="s">
        <v>16</v>
      </c>
      <c r="C170" s="24">
        <v>20</v>
      </c>
    </row>
    <row r="171" spans="1:3">
      <c r="A171" s="22" t="s">
        <v>17</v>
      </c>
      <c r="B171" s="22" t="s">
        <v>17</v>
      </c>
      <c r="C171" s="24">
        <v>20</v>
      </c>
    </row>
    <row r="172" spans="1:3">
      <c r="A172" s="22" t="s">
        <v>18</v>
      </c>
      <c r="B172" s="22" t="s">
        <v>18</v>
      </c>
      <c r="C172" s="24">
        <v>10</v>
      </c>
    </row>
    <row r="173" spans="1:3">
      <c r="A173" s="22" t="s">
        <v>165</v>
      </c>
      <c r="B173" s="22" t="s">
        <v>165</v>
      </c>
      <c r="C173" s="24">
        <v>25</v>
      </c>
    </row>
    <row r="174" spans="1:3">
      <c r="A174" s="22" t="s">
        <v>163</v>
      </c>
      <c r="B174" s="22" t="s">
        <v>163</v>
      </c>
      <c r="C174" s="24">
        <v>15</v>
      </c>
    </row>
    <row r="175" spans="1:3">
      <c r="A175" s="22" t="s">
        <v>164</v>
      </c>
      <c r="B175" s="22" t="s">
        <v>164</v>
      </c>
      <c r="C175" s="24">
        <v>10</v>
      </c>
    </row>
    <row r="176" spans="1:3">
      <c r="A176" s="22" t="s">
        <v>184</v>
      </c>
      <c r="B176" s="22" t="s">
        <v>184</v>
      </c>
      <c r="C176" s="24">
        <v>25</v>
      </c>
    </row>
    <row r="177" spans="1:3">
      <c r="A177" s="22" t="s">
        <v>183</v>
      </c>
      <c r="B177" s="22" t="s">
        <v>183</v>
      </c>
      <c r="C177" s="24">
        <v>15</v>
      </c>
    </row>
    <row r="178" spans="1:3">
      <c r="A178" s="22" t="s">
        <v>185</v>
      </c>
      <c r="B178" s="22" t="s">
        <v>185</v>
      </c>
      <c r="C178" s="24">
        <v>10</v>
      </c>
    </row>
    <row r="179" spans="1:3">
      <c r="A179" s="22" t="s">
        <v>20</v>
      </c>
      <c r="B179" s="22" t="s">
        <v>20</v>
      </c>
      <c r="C179" s="24">
        <v>25</v>
      </c>
    </row>
    <row r="180" spans="1:3">
      <c r="A180" s="22" t="s">
        <v>19</v>
      </c>
      <c r="B180" s="22" t="s">
        <v>19</v>
      </c>
      <c r="C180" s="24">
        <v>10</v>
      </c>
    </row>
    <row r="181" spans="1:3">
      <c r="A181" s="22" t="s">
        <v>181</v>
      </c>
      <c r="B181" s="22" t="s">
        <v>181</v>
      </c>
      <c r="C181" s="24">
        <v>25</v>
      </c>
    </row>
    <row r="182" spans="1:3">
      <c r="A182" s="22" t="s">
        <v>180</v>
      </c>
      <c r="B182" s="22" t="s">
        <v>180</v>
      </c>
      <c r="C182" s="24">
        <v>15</v>
      </c>
    </row>
    <row r="183" spans="1:3">
      <c r="A183" s="22" t="s">
        <v>182</v>
      </c>
      <c r="B183" s="22" t="s">
        <v>182</v>
      </c>
      <c r="C183" s="24">
        <v>10</v>
      </c>
    </row>
    <row r="184" spans="1:3">
      <c r="A184" s="22" t="s">
        <v>339</v>
      </c>
      <c r="B184" s="22" t="s">
        <v>339</v>
      </c>
      <c r="C184" s="24">
        <v>20</v>
      </c>
    </row>
    <row r="185" spans="1:3">
      <c r="A185" s="22" t="s">
        <v>340</v>
      </c>
      <c r="B185" s="22" t="s">
        <v>340</v>
      </c>
      <c r="C185" s="24">
        <v>25</v>
      </c>
    </row>
    <row r="186" spans="1:3">
      <c r="A186" s="22" t="s">
        <v>338</v>
      </c>
      <c r="B186" s="22" t="s">
        <v>338</v>
      </c>
      <c r="C186" s="24">
        <v>15</v>
      </c>
    </row>
    <row r="187" spans="1:3">
      <c r="A187" s="22" t="s">
        <v>344</v>
      </c>
      <c r="B187" s="22" t="s">
        <v>344</v>
      </c>
      <c r="C187" s="24">
        <v>20</v>
      </c>
    </row>
    <row r="188" spans="1:3">
      <c r="A188" s="22" t="s">
        <v>345</v>
      </c>
      <c r="B188" s="22" t="s">
        <v>345</v>
      </c>
      <c r="C188" s="24">
        <v>25</v>
      </c>
    </row>
    <row r="189" spans="1:3">
      <c r="A189" s="22" t="s">
        <v>343</v>
      </c>
      <c r="B189" s="22" t="s">
        <v>343</v>
      </c>
      <c r="C189" s="24">
        <v>15</v>
      </c>
    </row>
    <row r="190" spans="1:3">
      <c r="A190" s="22" t="s">
        <v>380</v>
      </c>
      <c r="B190" s="22" t="s">
        <v>380</v>
      </c>
      <c r="C190" s="24">
        <v>25</v>
      </c>
    </row>
    <row r="191" spans="1:3">
      <c r="A191" s="22" t="s">
        <v>341</v>
      </c>
      <c r="B191" s="22" t="s">
        <v>341</v>
      </c>
      <c r="C191" s="24">
        <v>10</v>
      </c>
    </row>
    <row r="192" spans="1:3">
      <c r="A192" s="22" t="s">
        <v>342</v>
      </c>
      <c r="B192" s="22" t="s">
        <v>342</v>
      </c>
      <c r="C192" s="24">
        <v>25</v>
      </c>
    </row>
    <row r="193" spans="1:3">
      <c r="A193" s="22" t="s">
        <v>172</v>
      </c>
      <c r="B193" s="22" t="s">
        <v>172</v>
      </c>
      <c r="C193" s="24">
        <v>15</v>
      </c>
    </row>
    <row r="194" spans="1:3">
      <c r="A194" s="22" t="s">
        <v>173</v>
      </c>
      <c r="B194" s="22" t="s">
        <v>173</v>
      </c>
      <c r="C194" s="24">
        <v>10</v>
      </c>
    </row>
    <row r="195" spans="1:3">
      <c r="A195" s="22" t="s">
        <v>351</v>
      </c>
      <c r="B195" s="22" t="s">
        <v>351</v>
      </c>
      <c r="C195" s="24">
        <v>50</v>
      </c>
    </row>
    <row r="196" spans="1:3">
      <c r="A196" s="22" t="s">
        <v>95</v>
      </c>
      <c r="B196" s="22" t="s">
        <v>95</v>
      </c>
      <c r="C196" s="24">
        <v>10</v>
      </c>
    </row>
    <row r="197" spans="1:3">
      <c r="A197" s="22" t="s">
        <v>21</v>
      </c>
      <c r="B197" s="22" t="s">
        <v>21</v>
      </c>
      <c r="C197" s="24">
        <v>45</v>
      </c>
    </row>
    <row r="198" spans="1:3">
      <c r="A198" s="22" t="s">
        <v>167</v>
      </c>
      <c r="B198" s="22" t="s">
        <v>167</v>
      </c>
      <c r="C198" s="24">
        <v>10</v>
      </c>
    </row>
    <row r="199" spans="1:3">
      <c r="A199" s="22" t="s">
        <v>168</v>
      </c>
      <c r="B199" s="22" t="s">
        <v>168</v>
      </c>
      <c r="C199" s="24">
        <v>30</v>
      </c>
    </row>
    <row r="200" spans="1:3">
      <c r="A200" s="22" t="s">
        <v>22</v>
      </c>
      <c r="B200" s="22" t="s">
        <v>395</v>
      </c>
      <c r="C200" s="24">
        <v>40</v>
      </c>
    </row>
    <row r="201" spans="1:3">
      <c r="A201" s="22" t="s">
        <v>99</v>
      </c>
      <c r="B201" s="22" t="s">
        <v>389</v>
      </c>
      <c r="C201" s="24">
        <v>40</v>
      </c>
    </row>
    <row r="202" spans="1:3">
      <c r="A202" s="22" t="s">
        <v>390</v>
      </c>
      <c r="B202" s="22" t="s">
        <v>392</v>
      </c>
      <c r="C202" s="24">
        <v>20</v>
      </c>
    </row>
    <row r="203" spans="1:3">
      <c r="A203" s="22" t="s">
        <v>387</v>
      </c>
      <c r="B203" s="22" t="s">
        <v>388</v>
      </c>
      <c r="C203" s="24">
        <v>20</v>
      </c>
    </row>
    <row r="204" spans="1:3">
      <c r="A204" s="22" t="s">
        <v>391</v>
      </c>
      <c r="B204" s="22" t="s">
        <v>394</v>
      </c>
      <c r="C204" s="24">
        <v>50</v>
      </c>
    </row>
    <row r="205" spans="1:3">
      <c r="A205" s="22" t="s">
        <v>100</v>
      </c>
      <c r="B205" s="22" t="s">
        <v>386</v>
      </c>
      <c r="C205" s="24">
        <v>50</v>
      </c>
    </row>
    <row r="206" spans="1:3">
      <c r="A206" s="22" t="s">
        <v>23</v>
      </c>
      <c r="B206" s="22" t="s">
        <v>393</v>
      </c>
      <c r="C206" s="24">
        <v>30</v>
      </c>
    </row>
    <row r="207" spans="1:3">
      <c r="A207" s="22" t="s">
        <v>384</v>
      </c>
      <c r="B207" s="22" t="s">
        <v>385</v>
      </c>
      <c r="C207" s="24">
        <v>30</v>
      </c>
    </row>
    <row r="208" spans="1:3">
      <c r="A208" s="22" t="s">
        <v>24</v>
      </c>
      <c r="B208" s="22" t="s">
        <v>24</v>
      </c>
      <c r="C208" s="24">
        <v>35</v>
      </c>
    </row>
    <row r="209" spans="1:3">
      <c r="A209" s="22" t="s">
        <v>308</v>
      </c>
      <c r="B209" s="22" t="s">
        <v>308</v>
      </c>
      <c r="C209" s="24">
        <v>25</v>
      </c>
    </row>
    <row r="210" spans="1:3">
      <c r="A210" s="22" t="s">
        <v>309</v>
      </c>
      <c r="B210" s="22" t="s">
        <v>309</v>
      </c>
      <c r="C210" s="24">
        <v>15</v>
      </c>
    </row>
    <row r="211" spans="1:3">
      <c r="A211" s="22" t="s">
        <v>310</v>
      </c>
      <c r="B211" s="22" t="s">
        <v>310</v>
      </c>
      <c r="C211" s="24">
        <v>10</v>
      </c>
    </row>
    <row r="212" spans="1:3">
      <c r="A212" s="22" t="s">
        <v>85</v>
      </c>
      <c r="B212" s="22" t="s">
        <v>85</v>
      </c>
      <c r="C212" s="24">
        <v>25</v>
      </c>
    </row>
    <row r="213" spans="1:3">
      <c r="A213" s="22" t="s">
        <v>84</v>
      </c>
      <c r="B213" s="22" t="s">
        <v>84</v>
      </c>
      <c r="C213" s="24">
        <v>15</v>
      </c>
    </row>
    <row r="214" spans="1:3">
      <c r="A214" s="22" t="s">
        <v>91</v>
      </c>
      <c r="B214" s="22" t="s">
        <v>91</v>
      </c>
      <c r="C214" s="24">
        <v>10</v>
      </c>
    </row>
    <row r="215" spans="1:3">
      <c r="A215" s="22" t="s">
        <v>25</v>
      </c>
      <c r="B215" s="22" t="s">
        <v>25</v>
      </c>
      <c r="C215" s="24">
        <v>15</v>
      </c>
    </row>
    <row r="216" spans="1:3">
      <c r="A216" s="22" t="s">
        <v>140</v>
      </c>
      <c r="B216" s="22" t="s">
        <v>140</v>
      </c>
      <c r="C216" s="24">
        <v>25</v>
      </c>
    </row>
    <row r="217" spans="1:3">
      <c r="A217" s="22" t="s">
        <v>141</v>
      </c>
      <c r="B217" s="22" t="s">
        <v>141</v>
      </c>
      <c r="C217" s="24">
        <v>15</v>
      </c>
    </row>
    <row r="218" spans="1:3">
      <c r="A218" s="22" t="s">
        <v>142</v>
      </c>
      <c r="B218" s="22" t="s">
        <v>142</v>
      </c>
      <c r="C218" s="24">
        <v>10</v>
      </c>
    </row>
    <row r="219" spans="1:3">
      <c r="A219" s="22" t="s">
        <v>162</v>
      </c>
      <c r="B219" s="22" t="s">
        <v>162</v>
      </c>
      <c r="C219" s="24">
        <v>20</v>
      </c>
    </row>
    <row r="220" spans="1:3">
      <c r="A220" s="22" t="s">
        <v>166</v>
      </c>
      <c r="B220" s="22" t="s">
        <v>166</v>
      </c>
      <c r="C220" s="24">
        <v>30</v>
      </c>
    </row>
    <row r="221" spans="1:3">
      <c r="A221" s="22" t="s">
        <v>143</v>
      </c>
      <c r="B221" s="22" t="s">
        <v>143</v>
      </c>
      <c r="C221" s="24">
        <v>15</v>
      </c>
    </row>
    <row r="222" spans="1:3">
      <c r="A222" s="22" t="s">
        <v>144</v>
      </c>
      <c r="B222" s="22" t="s">
        <v>144</v>
      </c>
      <c r="C222" s="24">
        <v>10</v>
      </c>
    </row>
    <row r="223" spans="1:3">
      <c r="A223" s="22" t="s">
        <v>330</v>
      </c>
      <c r="B223" s="22" t="s">
        <v>330</v>
      </c>
      <c r="C223" s="24">
        <v>25</v>
      </c>
    </row>
    <row r="224" spans="1:3">
      <c r="A224" s="22" t="s">
        <v>329</v>
      </c>
      <c r="B224" s="22" t="s">
        <v>329</v>
      </c>
      <c r="C224" s="24">
        <v>15</v>
      </c>
    </row>
    <row r="225" spans="1:3">
      <c r="A225" s="22" t="s">
        <v>331</v>
      </c>
      <c r="B225" s="22" t="s">
        <v>331</v>
      </c>
      <c r="C225" s="24">
        <v>10</v>
      </c>
    </row>
    <row r="226" spans="1:3">
      <c r="A226" s="22" t="s">
        <v>332</v>
      </c>
      <c r="B226" s="22" t="s">
        <v>332</v>
      </c>
      <c r="C226" s="24">
        <v>25</v>
      </c>
    </row>
    <row r="227" spans="1:3">
      <c r="A227" s="22" t="s">
        <v>101</v>
      </c>
      <c r="B227" s="22" t="s">
        <v>101</v>
      </c>
      <c r="C227" s="24">
        <v>10</v>
      </c>
    </row>
    <row r="228" spans="1:3">
      <c r="A228" s="22" t="s">
        <v>381</v>
      </c>
      <c r="B228" s="22" t="s">
        <v>381</v>
      </c>
      <c r="C228" s="24">
        <v>15</v>
      </c>
    </row>
    <row r="229" spans="1:3">
      <c r="A229" s="22" t="s">
        <v>26</v>
      </c>
      <c r="B229" s="22" t="s">
        <v>26</v>
      </c>
      <c r="C229" s="24">
        <v>20</v>
      </c>
    </row>
    <row r="230" spans="1:3">
      <c r="A230" s="22" t="s">
        <v>27</v>
      </c>
      <c r="B230" s="22" t="s">
        <v>27</v>
      </c>
      <c r="C230" s="24">
        <v>25</v>
      </c>
    </row>
    <row r="231" spans="1:3">
      <c r="A231" s="22" t="s">
        <v>86</v>
      </c>
      <c r="B231" s="22" t="s">
        <v>86</v>
      </c>
      <c r="C231" s="24">
        <v>15</v>
      </c>
    </row>
    <row r="232" spans="1:3">
      <c r="A232" s="22" t="s">
        <v>92</v>
      </c>
      <c r="B232" s="22" t="s">
        <v>92</v>
      </c>
      <c r="C232" s="24">
        <v>10</v>
      </c>
    </row>
    <row r="233" spans="1:3">
      <c r="A233" s="22" t="s">
        <v>94</v>
      </c>
      <c r="B233" s="22" t="s">
        <v>94</v>
      </c>
      <c r="C233" s="24">
        <v>45</v>
      </c>
    </row>
    <row r="234" spans="1:3">
      <c r="A234" s="22" t="s">
        <v>258</v>
      </c>
      <c r="B234" s="22" t="s">
        <v>258</v>
      </c>
      <c r="C234" s="24">
        <v>60</v>
      </c>
    </row>
    <row r="235" spans="1:3">
      <c r="A235" s="22" t="s">
        <v>383</v>
      </c>
      <c r="B235" s="22" t="s">
        <v>383</v>
      </c>
      <c r="C235" s="24">
        <v>25</v>
      </c>
    </row>
    <row r="236" spans="1:3">
      <c r="A236" s="22" t="s">
        <v>382</v>
      </c>
      <c r="B236" s="22" t="s">
        <v>382</v>
      </c>
      <c r="C236" s="24">
        <v>40</v>
      </c>
    </row>
    <row r="237" spans="1:3">
      <c r="A237" s="22" t="s">
        <v>157</v>
      </c>
      <c r="B237" s="22" t="s">
        <v>157</v>
      </c>
      <c r="C237" s="24">
        <v>3</v>
      </c>
    </row>
    <row r="238" spans="1:3">
      <c r="A238" s="22" t="s">
        <v>96</v>
      </c>
      <c r="B238" s="22" t="s">
        <v>96</v>
      </c>
      <c r="C238" s="24">
        <v>10</v>
      </c>
    </row>
    <row r="239" spans="1:3">
      <c r="A239" s="22" t="s">
        <v>97</v>
      </c>
      <c r="B239" s="22" t="s">
        <v>97</v>
      </c>
      <c r="C239" s="24">
        <v>15</v>
      </c>
    </row>
    <row r="240" spans="1:3">
      <c r="A240" s="22" t="s">
        <v>98</v>
      </c>
      <c r="B240" s="22" t="s">
        <v>98</v>
      </c>
      <c r="C240" s="24">
        <v>5</v>
      </c>
    </row>
    <row r="241" spans="1:3">
      <c r="A241" s="22" t="s">
        <v>76</v>
      </c>
      <c r="B241" s="22" t="s">
        <v>76</v>
      </c>
      <c r="C241" s="24">
        <v>35</v>
      </c>
    </row>
    <row r="242" spans="1:3">
      <c r="A242" s="22" t="s">
        <v>28</v>
      </c>
      <c r="B242" s="22" t="s">
        <v>28</v>
      </c>
      <c r="C242" s="24">
        <v>20</v>
      </c>
    </row>
    <row r="243" spans="1:3">
      <c r="A243" s="22" t="s">
        <v>29</v>
      </c>
      <c r="B243" s="22" t="s">
        <v>29</v>
      </c>
      <c r="C243" s="24">
        <v>25</v>
      </c>
    </row>
    <row r="244" spans="1:3">
      <c r="A244" s="22" t="s">
        <v>87</v>
      </c>
      <c r="B244" s="22" t="s">
        <v>87</v>
      </c>
      <c r="C244" s="24">
        <v>15</v>
      </c>
    </row>
    <row r="245" spans="1:3">
      <c r="A245" s="22" t="s">
        <v>93</v>
      </c>
      <c r="B245" s="22" t="s">
        <v>93</v>
      </c>
      <c r="C245" s="24">
        <v>10</v>
      </c>
    </row>
    <row r="246" spans="1:3">
      <c r="A246" s="22" t="s">
        <v>400</v>
      </c>
      <c r="B246" s="22" t="s">
        <v>400</v>
      </c>
      <c r="C246" s="24">
        <v>10</v>
      </c>
    </row>
    <row r="247" spans="1:3">
      <c r="A247" s="22" t="s">
        <v>401</v>
      </c>
      <c r="B247" s="22" t="s">
        <v>403</v>
      </c>
      <c r="C247" s="24">
        <v>129</v>
      </c>
    </row>
    <row r="248" spans="1:3">
      <c r="A248" s="22" t="s">
        <v>402</v>
      </c>
      <c r="B248" s="22" t="s">
        <v>404</v>
      </c>
      <c r="C248" s="24">
        <v>129</v>
      </c>
    </row>
    <row r="249" spans="1:3">
      <c r="A249" s="22"/>
      <c r="B249" s="22"/>
      <c r="C249" s="24"/>
    </row>
    <row r="250" spans="1:3">
      <c r="A250" s="22" t="s">
        <v>430</v>
      </c>
      <c r="B250" s="22" t="s">
        <v>431</v>
      </c>
      <c r="C250" s="24">
        <v>35</v>
      </c>
    </row>
    <row r="251" spans="1:3">
      <c r="A251" s="22" t="s">
        <v>444</v>
      </c>
      <c r="B251" s="22" t="s">
        <v>444</v>
      </c>
      <c r="C251" s="24">
        <v>15</v>
      </c>
    </row>
    <row r="252" spans="1:3">
      <c r="A252" s="22" t="s">
        <v>445</v>
      </c>
      <c r="B252" s="22" t="s">
        <v>445</v>
      </c>
      <c r="C252" s="24">
        <v>10</v>
      </c>
    </row>
    <row r="253" spans="1:3">
      <c r="A253" s="22" t="s">
        <v>446</v>
      </c>
      <c r="B253" s="22" t="s">
        <v>446</v>
      </c>
      <c r="C253" s="24">
        <v>25</v>
      </c>
    </row>
    <row r="254" spans="1:3">
      <c r="A254" s="22" t="s">
        <v>447</v>
      </c>
      <c r="B254" s="22" t="s">
        <v>447</v>
      </c>
      <c r="C254" s="24">
        <v>15</v>
      </c>
    </row>
    <row r="255" spans="1:3">
      <c r="A255" s="22" t="s">
        <v>448</v>
      </c>
      <c r="B255" s="22" t="s">
        <v>448</v>
      </c>
      <c r="C255" s="24">
        <v>10</v>
      </c>
    </row>
    <row r="256" spans="1:3">
      <c r="A256" s="22" t="s">
        <v>449</v>
      </c>
      <c r="B256" s="22" t="s">
        <v>449</v>
      </c>
      <c r="C256" s="24">
        <v>15</v>
      </c>
    </row>
    <row r="257" spans="1:6">
      <c r="A257" s="22" t="s">
        <v>450</v>
      </c>
      <c r="B257" s="22" t="s">
        <v>450</v>
      </c>
      <c r="C257" s="24">
        <v>10</v>
      </c>
    </row>
    <row r="258" spans="1:6">
      <c r="A258" s="22" t="s">
        <v>451</v>
      </c>
      <c r="B258" s="22" t="s">
        <v>451</v>
      </c>
      <c r="C258" s="24">
        <v>15</v>
      </c>
    </row>
    <row r="259" spans="1:6">
      <c r="A259" s="22" t="s">
        <v>452</v>
      </c>
      <c r="B259" s="22" t="s">
        <v>452</v>
      </c>
      <c r="C259" s="24">
        <v>10</v>
      </c>
    </row>
    <row r="260" spans="1:6">
      <c r="A260" s="22" t="s">
        <v>453</v>
      </c>
      <c r="B260" s="22" t="s">
        <v>453</v>
      </c>
      <c r="C260" s="24">
        <v>25</v>
      </c>
    </row>
    <row r="261" spans="1:6">
      <c r="A261" s="22" t="s">
        <v>454</v>
      </c>
      <c r="B261" s="22" t="s">
        <v>454</v>
      </c>
      <c r="C261" s="24">
        <v>25</v>
      </c>
    </row>
    <row r="262" spans="1:6">
      <c r="A262" s="22" t="s">
        <v>455</v>
      </c>
      <c r="B262" s="22" t="s">
        <v>455</v>
      </c>
      <c r="C262" s="24">
        <v>25</v>
      </c>
    </row>
    <row r="263" spans="1:6">
      <c r="A263" s="22"/>
      <c r="B263" s="22"/>
      <c r="C263" s="24"/>
    </row>
    <row r="264" spans="1:6">
      <c r="A264" s="22"/>
      <c r="B264" s="22"/>
      <c r="C264" s="24"/>
    </row>
    <row r="265" spans="1:6">
      <c r="A265" s="22"/>
      <c r="B265" s="22"/>
      <c r="C265" s="24"/>
    </row>
    <row r="266" spans="1:6">
      <c r="A266" s="22"/>
      <c r="B266" s="22"/>
      <c r="C266" s="24"/>
    </row>
    <row r="267" spans="1:6">
      <c r="A267" s="22"/>
      <c r="B267" s="22"/>
      <c r="C267" s="24"/>
    </row>
    <row r="268" spans="1:6">
      <c r="A268" s="22"/>
      <c r="B268" s="22"/>
      <c r="C268" s="24"/>
    </row>
    <row r="269" spans="1:6">
      <c r="A269" s="22"/>
      <c r="B269" s="22"/>
      <c r="C269" s="24"/>
    </row>
    <row r="270" spans="1:6">
      <c r="A270" s="22"/>
      <c r="B270" s="22"/>
      <c r="C270" s="24"/>
    </row>
    <row r="271" spans="1:6">
      <c r="A271" s="22"/>
      <c r="B271" s="22"/>
      <c r="C271" s="24"/>
    </row>
    <row r="272" spans="1:6">
      <c r="A272" s="22"/>
      <c r="B272" s="22"/>
      <c r="C272" s="24"/>
      <c r="F272" s="25"/>
    </row>
    <row r="273" spans="1:6">
      <c r="A273" s="22"/>
      <c r="B273" s="22"/>
      <c r="C273" s="24"/>
      <c r="F273" s="25"/>
    </row>
    <row r="274" spans="1:6">
      <c r="A274" s="22"/>
      <c r="B274" s="22"/>
      <c r="C274" s="24"/>
      <c r="F274" s="25"/>
    </row>
    <row r="275" spans="1:6" ht="15">
      <c r="A275" s="22"/>
      <c r="B275" s="22"/>
      <c r="C275" s="24"/>
      <c r="F275" s="26"/>
    </row>
    <row r="276" spans="1:6">
      <c r="A276" s="22"/>
      <c r="B276" s="22"/>
      <c r="C276" s="24"/>
      <c r="F276" s="25"/>
    </row>
  </sheetData>
  <sortState ref="A56:D92">
    <sortCondition ref="B56:B92"/>
  </sortState>
  <mergeCells count="4">
    <mergeCell ref="A104:B104"/>
    <mergeCell ref="A17:D17"/>
    <mergeCell ref="F42:G42"/>
    <mergeCell ref="A1:F1"/>
  </mergeCells>
  <phoneticPr fontId="1" type="noConversion"/>
  <pageMargins left="0.7" right="0.7" top="0.75" bottom="0.75" header="0.3" footer="0.3"/>
  <pageSetup orientation="portrait" horizontalDpi="203" verticalDpi="203"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vt:i4>
      </vt:variant>
      <vt:variant>
        <vt:lpstr>Named Ranges</vt:lpstr>
      </vt:variant>
      <vt:variant>
        <vt:i4>38</vt:i4>
      </vt:variant>
    </vt:vector>
  </HeadingPairs>
  <TitlesOfParts>
    <vt:vector size="41" baseType="lpstr">
      <vt:lpstr>Input</vt:lpstr>
      <vt:lpstr>Receipt</vt:lpstr>
      <vt:lpstr>Setting</vt:lpstr>
      <vt:lpstr>accList</vt:lpstr>
      <vt:lpstr>accName</vt:lpstr>
      <vt:lpstr>activationFee</vt:lpstr>
      <vt:lpstr>addresses</vt:lpstr>
      <vt:lpstr>dicount3</vt:lpstr>
      <vt:lpstr>discount1</vt:lpstr>
      <vt:lpstr>discount2</vt:lpstr>
      <vt:lpstr>discount3</vt:lpstr>
      <vt:lpstr>discount4</vt:lpstr>
      <vt:lpstr>discount5</vt:lpstr>
      <vt:lpstr>discountList</vt:lpstr>
      <vt:lpstr>discountrate</vt:lpstr>
      <vt:lpstr>disRate</vt:lpstr>
      <vt:lpstr>dlist</vt:lpstr>
      <vt:lpstr>item1</vt:lpstr>
      <vt:lpstr>item2</vt:lpstr>
      <vt:lpstr>item3</vt:lpstr>
      <vt:lpstr>item4</vt:lpstr>
      <vt:lpstr>item5</vt:lpstr>
      <vt:lpstr>location</vt:lpstr>
      <vt:lpstr>locations</vt:lpstr>
      <vt:lpstr>manPhone</vt:lpstr>
      <vt:lpstr>manSim</vt:lpstr>
      <vt:lpstr>manualdate</vt:lpstr>
      <vt:lpstr>manualdiscount</vt:lpstr>
      <vt:lpstr>manualTab</vt:lpstr>
      <vt:lpstr>meid1</vt:lpstr>
      <vt:lpstr>model1</vt:lpstr>
      <vt:lpstr>phoneNum1</vt:lpstr>
      <vt:lpstr>phonetable</vt:lpstr>
      <vt:lpstr>pmethod</vt:lpstr>
      <vt:lpstr>pmethod2</vt:lpstr>
      <vt:lpstr>Receipt!Print_Area</vt:lpstr>
      <vt:lpstr>productType</vt:lpstr>
      <vt:lpstr>reactFee</vt:lpstr>
      <vt:lpstr>simNum1</vt:lpstr>
      <vt:lpstr>simPrice</vt:lpstr>
      <vt:lpstr>type1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Jane_main</dc:creator>
  <cp:lastModifiedBy>jgchoi</cp:lastModifiedBy>
  <cp:lastPrinted>2015-03-14T20:55:23Z</cp:lastPrinted>
  <dcterms:created xsi:type="dcterms:W3CDTF">2006-09-16T00:00:00Z</dcterms:created>
  <dcterms:modified xsi:type="dcterms:W3CDTF">2015-09-20T14:17:08Z</dcterms:modified>
</cp:coreProperties>
</file>